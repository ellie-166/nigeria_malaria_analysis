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13_ncr:1_{5E1C7A54-B745-431D-971A-1B7816435274}" xr6:coauthVersionLast="47" xr6:coauthVersionMax="47" xr10:uidLastSave="{00000000-0000-0000-0000-000000000000}"/>
  <bookViews>
    <workbookView xWindow="-110" yWindow="-110" windowWidth="19420" windowHeight="10300" activeTab="1" xr2:uid="{D8CE336A-E872-4E8A-99C9-55CD2BB5E0F1}"/>
  </bookViews>
  <sheets>
    <sheet name="malaria_indicators_nga" sheetId="1" r:id="rId1"/>
    <sheet name="malaria-dataset_cle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 a="1"/>
  <c r="C2" i="2" s="1"/>
  <c r="C140" i="2" a="1"/>
  <c r="C140" i="2"/>
  <c r="C141" i="2" a="1"/>
  <c r="C141" i="2"/>
  <c r="C3" i="2" a="1"/>
  <c r="C3" i="2"/>
  <c r="C4" i="2" a="1"/>
  <c r="C4" i="2"/>
  <c r="C5" i="2" a="1"/>
  <c r="C5" i="2"/>
  <c r="C6" i="2" a="1"/>
  <c r="C6" i="2"/>
  <c r="C7" i="2" a="1"/>
  <c r="C7" i="2"/>
  <c r="C8" i="2" a="1"/>
  <c r="C8" i="2"/>
  <c r="C9" i="2" a="1"/>
  <c r="C9" i="2"/>
  <c r="C10" i="2" a="1"/>
  <c r="C10" i="2"/>
  <c r="C11" i="2" a="1"/>
  <c r="C11" i="2"/>
  <c r="C12" i="2" a="1"/>
  <c r="C12" i="2"/>
  <c r="C13" i="2" a="1"/>
  <c r="C13" i="2"/>
  <c r="C14" i="2" a="1"/>
  <c r="C14" i="2"/>
  <c r="C15" i="2" a="1"/>
  <c r="C15" i="2"/>
  <c r="C16" i="2" a="1"/>
  <c r="C16" i="2"/>
  <c r="C17" i="2" a="1"/>
  <c r="C17" i="2"/>
  <c r="C18" i="2" a="1"/>
  <c r="C18" i="2"/>
  <c r="C19" i="2" a="1"/>
  <c r="C19" i="2"/>
  <c r="C20" i="2" a="1"/>
  <c r="C20" i="2"/>
  <c r="C21" i="2" a="1"/>
  <c r="C21" i="2"/>
  <c r="C22" i="2" a="1"/>
  <c r="C22" i="2" s="1"/>
  <c r="C23" i="2" a="1"/>
  <c r="C23" i="2"/>
  <c r="C24" i="2" a="1"/>
  <c r="C24" i="2"/>
  <c r="C25" i="2" a="1"/>
  <c r="C25" i="2"/>
  <c r="C26" i="2" a="1"/>
  <c r="C26" i="2"/>
  <c r="C27" i="2" a="1"/>
  <c r="C27" i="2"/>
  <c r="C28" i="2" a="1"/>
  <c r="C28" i="2"/>
  <c r="C29" i="2" a="1"/>
  <c r="C29" i="2"/>
  <c r="C30" i="2" a="1"/>
  <c r="C30" i="2"/>
  <c r="C31" i="2" a="1"/>
  <c r="C31" i="2"/>
  <c r="C32" i="2" a="1"/>
  <c r="C32" i="2"/>
  <c r="C33" i="2" a="1"/>
  <c r="C33" i="2"/>
  <c r="C34" i="2" a="1"/>
  <c r="C34" i="2"/>
  <c r="C35" i="2" a="1"/>
  <c r="C35" i="2"/>
  <c r="C36" i="2" a="1"/>
  <c r="C36" i="2"/>
  <c r="C37" i="2" a="1"/>
  <c r="C37" i="2"/>
  <c r="C38" i="2" a="1"/>
  <c r="C38" i="2"/>
  <c r="C39" i="2" a="1"/>
  <c r="C39" i="2"/>
  <c r="C40" i="2" a="1"/>
  <c r="C40" i="2"/>
  <c r="C41" i="2" a="1"/>
  <c r="C41" i="2"/>
  <c r="C42" i="2" a="1"/>
  <c r="C42" i="2"/>
  <c r="C43" i="2" a="1"/>
  <c r="C43" i="2"/>
  <c r="C44" i="2" a="1"/>
  <c r="C44" i="2"/>
  <c r="C45" i="2" a="1"/>
  <c r="C45" i="2"/>
  <c r="C46" i="2" a="1"/>
  <c r="C46" i="2"/>
  <c r="C47" i="2" a="1"/>
  <c r="C47" i="2"/>
  <c r="C48" i="2" a="1"/>
  <c r="C48" i="2"/>
  <c r="C49" i="2" a="1"/>
  <c r="C49" i="2"/>
  <c r="C50" i="2" a="1"/>
  <c r="C50" i="2"/>
  <c r="C51" i="2" a="1"/>
  <c r="C51" i="2"/>
  <c r="C52" i="2" a="1"/>
  <c r="C52" i="2"/>
  <c r="C53" i="2" a="1"/>
  <c r="C53" i="2"/>
  <c r="C54" i="2" a="1"/>
  <c r="C54" i="2"/>
  <c r="C55" i="2" a="1"/>
  <c r="C55" i="2"/>
  <c r="C56" i="2" a="1"/>
  <c r="C56" i="2"/>
  <c r="C57" i="2" a="1"/>
  <c r="C57" i="2"/>
  <c r="C58" i="2" a="1"/>
  <c r="C58" i="2"/>
  <c r="C59" i="2" a="1"/>
  <c r="C59" i="2"/>
  <c r="C60" i="2" a="1"/>
  <c r="C60" i="2"/>
  <c r="C61" i="2" a="1"/>
  <c r="C61" i="2"/>
  <c r="C62" i="2" a="1"/>
  <c r="C62" i="2"/>
  <c r="C63" i="2" a="1"/>
  <c r="C63" i="2"/>
  <c r="C64" i="2" a="1"/>
  <c r="C64" i="2"/>
  <c r="C65" i="2" a="1"/>
  <c r="C65" i="2" s="1"/>
  <c r="C66" i="2" a="1"/>
  <c r="C66" i="2" s="1"/>
  <c r="C67" i="2" a="1"/>
  <c r="C67" i="2" s="1"/>
  <c r="C68" i="2" a="1"/>
  <c r="C68" i="2" s="1"/>
  <c r="C69" i="2" a="1"/>
  <c r="C69" i="2"/>
  <c r="C70" i="2" a="1"/>
  <c r="C70" i="2" s="1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/>
  <c r="C84" i="2" a="1"/>
  <c r="C84" i="2" s="1"/>
  <c r="C85" i="2" a="1"/>
  <c r="C85" i="2" s="1"/>
  <c r="C86" i="2" a="1"/>
  <c r="C86" i="2" s="1"/>
  <c r="C87" i="2" a="1"/>
  <c r="C87" i="2" s="1"/>
  <c r="C88" i="2" a="1"/>
  <c r="C88" i="2" s="1"/>
  <c r="C89" i="2" a="1"/>
  <c r="C89" i="2" s="1"/>
  <c r="C90" i="2" a="1"/>
  <c r="C90" i="2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/>
  <c r="C102" i="2" a="1"/>
  <c r="C102" i="2" s="1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 s="1"/>
  <c r="C119" i="2" a="1"/>
  <c r="C119" i="2" s="1"/>
  <c r="C120" i="2" a="1"/>
  <c r="C120" i="2" s="1"/>
  <c r="C121" i="2" a="1"/>
  <c r="C121" i="2" s="1"/>
  <c r="C122" i="2" a="1"/>
  <c r="C122" i="2" s="1"/>
  <c r="C123" i="2" a="1"/>
  <c r="C123" i="2" s="1"/>
  <c r="C124" i="2" a="1"/>
  <c r="C124" i="2" s="1"/>
  <c r="C125" i="2" a="1"/>
  <c r="C125" i="2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 s="1"/>
  <c r="C135" i="2" a="1"/>
  <c r="C135" i="2" s="1"/>
  <c r="C136" i="2" a="1"/>
  <c r="C136" i="2"/>
  <c r="C137" i="2" a="1"/>
  <c r="C137" i="2" s="1"/>
  <c r="C138" i="2" a="1"/>
  <c r="C138" i="2" s="1"/>
  <c r="C139" i="2" a="1"/>
  <c r="C139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<sst xmlns="http://schemas.openxmlformats.org/spreadsheetml/2006/main" count="1424" uniqueCount="181">
  <si>
    <t>GHO (CODE)</t>
  </si>
  <si>
    <t>GHO (DISPLAY)</t>
  </si>
  <si>
    <t>GHO (URL)</t>
  </si>
  <si>
    <t>YEAR (DISPLAY)</t>
  </si>
  <si>
    <t>STARTYEAR</t>
  </si>
  <si>
    <t>ENDYEAR</t>
  </si>
  <si>
    <t>REGION (CODE)</t>
  </si>
  <si>
    <t>REGION (DISPLAY)</t>
  </si>
  <si>
    <t>COUNTRY (CODE)</t>
  </si>
  <si>
    <t>COUNTRY (DISPLAY)</t>
  </si>
  <si>
    <t>DIMENSION (TYPE)</t>
  </si>
  <si>
    <t>DIMENSION (CODE)</t>
  </si>
  <si>
    <t>DIMENSION (NAME)</t>
  </si>
  <si>
    <t>Numeric</t>
  </si>
  <si>
    <t>Value</t>
  </si>
  <si>
    <t>Low</t>
  </si>
  <si>
    <t>High</t>
  </si>
  <si>
    <t>MALARIA_PRES_CASES</t>
  </si>
  <si>
    <t>Number of presumed malaria cases</t>
  </si>
  <si>
    <t>https://www.who.int/data/gho/data/indicators/indicator-details/GHO/number-of-presumed-malaria-cases</t>
  </si>
  <si>
    <t>AFR</t>
  </si>
  <si>
    <t>Africa</t>
  </si>
  <si>
    <t>NGA</t>
  </si>
  <si>
    <t>Nigeria</t>
  </si>
  <si>
    <t>8 633 678</t>
  </si>
  <si>
    <t>MALARIA_CONF_CASES</t>
  </si>
  <si>
    <t>Number of confirmed malaria cases</t>
  </si>
  <si>
    <t>https://www.who.int/data/gho/data/indicators/indicator-details/GHO/number-confirmed-malaria-cases</t>
  </si>
  <si>
    <t>14 548 024</t>
  </si>
  <si>
    <t>MALARIA_EST_MORTALITY</t>
  </si>
  <si>
    <t>Estimated malaria mortality rate (per 100 000 population)</t>
  </si>
  <si>
    <t>https://www.who.int/data/gho/data/indicators/indicator-details/GHO/estimated-malaria-mortality-rate-per-100-000-population</t>
  </si>
  <si>
    <t>178.99 [168.99-189.44]</t>
  </si>
  <si>
    <t>MALARIA_EST_INCIDENCE</t>
  </si>
  <si>
    <t>Estimated malaria incidence (per 1000 population at risk)</t>
  </si>
  <si>
    <t>https://www.who.int/data/gho/data/indicators/indicator-details/GHO/malaria-incidence-%28per-1-000-population-at-risk%29</t>
  </si>
  <si>
    <t>363.36 [294.24-443.45]</t>
  </si>
  <si>
    <t>MALARIA_RDT_POS</t>
  </si>
  <si>
    <t>Number of malaria positive cases by rapid diagnostic test (RDT)</t>
  </si>
  <si>
    <t>https://www.who.int/data/gho/data/indicators/indicator-details/GHO/number-of-malaria-positive-cases-by-rapid-diagnostic-test-rdt</t>
  </si>
  <si>
    <t>20 565 840</t>
  </si>
  <si>
    <t>144.68 [135.79-153.95]</t>
  </si>
  <si>
    <t>3 254 815</t>
  </si>
  <si>
    <t>140.18 [130.57-150.20]</t>
  </si>
  <si>
    <t>MALARIA_SUSPECTS</t>
  </si>
  <si>
    <t>Number of suspected malaria cases</t>
  </si>
  <si>
    <t>https://www.who.int/data/gho/data/indicators/indicator-details/GHO/number-of-suspected-malaria-cases</t>
  </si>
  <si>
    <t>30 202 722</t>
  </si>
  <si>
    <t>MALARIA_MICR_POS</t>
  </si>
  <si>
    <t>Number of malaria positive cases by microscopy</t>
  </si>
  <si>
    <t>https://www.who.int/data/gho/data/indicators/indicator-details/GHO/number-of-malaria-positive-cases-by-microscopy</t>
  </si>
  <si>
    <t>556 871</t>
  </si>
  <si>
    <t>299.00 [215.62-406.20]</t>
  </si>
  <si>
    <t>84.11 [62.99-117.06]</t>
  </si>
  <si>
    <t>20 672 565</t>
  </si>
  <si>
    <t>10 358 387</t>
  </si>
  <si>
    <t>29 113 322</t>
  </si>
  <si>
    <t>291.07 [228.98-367.07]</t>
  </si>
  <si>
    <t>81.05 [59.32-116.01]</t>
  </si>
  <si>
    <t>2 377 840</t>
  </si>
  <si>
    <t>304.37 [218.69-414.28]</t>
  </si>
  <si>
    <t>151.15 [141.20-161.52]</t>
  </si>
  <si>
    <t>MALARIA_PF_INDIG</t>
  </si>
  <si>
    <t>Number of indigenous P. falciparum malaria cases</t>
  </si>
  <si>
    <t>https://www.who.int/data/gho/data/indicators/indicator-details/GHO/number-of-indigenous-p.-falciparum-malaria-cases</t>
  </si>
  <si>
    <t>13 087 878</t>
  </si>
  <si>
    <t>2 313 036</t>
  </si>
  <si>
    <t>32 983 459</t>
  </si>
  <si>
    <t>MALARIA_INDIG</t>
  </si>
  <si>
    <t>Number of indigenous malaria cases</t>
  </si>
  <si>
    <t>https://www.who.int/data/gho/data/indicators/indicator-details/GHO/number-of-indigenous-malaria-cases</t>
  </si>
  <si>
    <t>24 098 323</t>
  </si>
  <si>
    <t>389.96 [319.67-471.62]</t>
  </si>
  <si>
    <t>20 243 915</t>
  </si>
  <si>
    <t>2 117 656</t>
  </si>
  <si>
    <t>MALARIA_MICR_TEST</t>
  </si>
  <si>
    <t>Number of malaria suspects examined by microscopy</t>
  </si>
  <si>
    <t>https://www.who.int/data/gho/data/indicators/indicator-details/GHO/number-of-malaria-suspects-examined-by-microscopy</t>
  </si>
  <si>
    <t>901 141</t>
  </si>
  <si>
    <t>284.83 [225.41-353.73]</t>
  </si>
  <si>
    <t>3 186 224</t>
  </si>
  <si>
    <t>339.51 [273.76-416.18]</t>
  </si>
  <si>
    <t>25 106 551</t>
  </si>
  <si>
    <t>172.52 [162.53-182.92]</t>
  </si>
  <si>
    <t>22 683 496</t>
  </si>
  <si>
    <t>293.00 [226.46-376.22]</t>
  </si>
  <si>
    <t>MALARIA_TOTAL_CASES</t>
  </si>
  <si>
    <t>Total number ofÂ  malaria cases (presumed + confirmed cases)</t>
  </si>
  <si>
    <t>https://www.who.int/data/gho/data/indicators/indicator-details/GHO/total-number-of-malaria-cases-presumed-confirmed-cases</t>
  </si>
  <si>
    <t>16 702 261</t>
  </si>
  <si>
    <t>88.66 [77.62-102.59]</t>
  </si>
  <si>
    <t>8 068 583</t>
  </si>
  <si>
    <t>21 649 680</t>
  </si>
  <si>
    <t>5 934 356</t>
  </si>
  <si>
    <t>174.33 [164.40-184.65]</t>
  </si>
  <si>
    <t>7 131 390</t>
  </si>
  <si>
    <t>398.57 [321.34-488.27]</t>
  </si>
  <si>
    <t>3 405 012</t>
  </si>
  <si>
    <t>382.09 [298.42-484.07]</t>
  </si>
  <si>
    <t>134.83 [125.03-145.20]</t>
  </si>
  <si>
    <t>390.12 [309.71-483.20]</t>
  </si>
  <si>
    <t>18 325 240</t>
  </si>
  <si>
    <t>22 208 760</t>
  </si>
  <si>
    <t>288.98 [229.08-359.80]</t>
  </si>
  <si>
    <t>19 806 915</t>
  </si>
  <si>
    <t>839 849</t>
  </si>
  <si>
    <t>86.67 [69.76-110.35]</t>
  </si>
  <si>
    <t>2 559 742</t>
  </si>
  <si>
    <t>316.22 [255.24-389.01]</t>
  </si>
  <si>
    <t>2 312 163</t>
  </si>
  <si>
    <t>13 598 282</t>
  </si>
  <si>
    <t>2 448 643</t>
  </si>
  <si>
    <t>3 200 671</t>
  </si>
  <si>
    <t>23 050 405</t>
  </si>
  <si>
    <t>2 283 611</t>
  </si>
  <si>
    <t>24 968 466</t>
  </si>
  <si>
    <t>401.79 [312.41-508.80]</t>
  </si>
  <si>
    <t>2 476 514</t>
  </si>
  <si>
    <t>20 482 380</t>
  </si>
  <si>
    <t>88.37 [72.67-109.43]</t>
  </si>
  <si>
    <t>21 325 186</t>
  </si>
  <si>
    <t>13 524 751</t>
  </si>
  <si>
    <t>299.27 [217.44-407.25]</t>
  </si>
  <si>
    <t>381.75 [296.16-485.34]</t>
  </si>
  <si>
    <t>33 349 112</t>
  </si>
  <si>
    <t>26 411 359</t>
  </si>
  <si>
    <t>287.70 [230.31-354.64]</t>
  </si>
  <si>
    <t>107.23 [98.17-117.10]</t>
  </si>
  <si>
    <t>16 013 077</t>
  </si>
  <si>
    <t>283.81 [227.07-351.95]</t>
  </si>
  <si>
    <t>3 298 156</t>
  </si>
  <si>
    <t>3 569 878</t>
  </si>
  <si>
    <t>23 956 669</t>
  </si>
  <si>
    <t>402.01 [328.56-486.99]</t>
  </si>
  <si>
    <t>299.00 [215.48-402.85]</t>
  </si>
  <si>
    <t>20 219 268</t>
  </si>
  <si>
    <t>1 364 197</t>
  </si>
  <si>
    <t>12 979 919</t>
  </si>
  <si>
    <t>18 765 444</t>
  </si>
  <si>
    <t>749 118</t>
  </si>
  <si>
    <t>87.92 [75.59-103.90]</t>
  </si>
  <si>
    <t>29 489 245</t>
  </si>
  <si>
    <t>23 376 793</t>
  </si>
  <si>
    <t>119.56 [110.24-129.37]</t>
  </si>
  <si>
    <t>79.48 [58.01-113.43]</t>
  </si>
  <si>
    <t>294.25 [211.03-397.36]</t>
  </si>
  <si>
    <t>1 918 061</t>
  </si>
  <si>
    <t>1 428 731</t>
  </si>
  <si>
    <t>27 370 935</t>
  </si>
  <si>
    <t>97.62 [88.71-107.73]</t>
  </si>
  <si>
    <t>2 893 563</t>
  </si>
  <si>
    <t>35 179 110</t>
  </si>
  <si>
    <t>3 086 039</t>
  </si>
  <si>
    <t>87.29 [67.02-118.09]</t>
  </si>
  <si>
    <t>159.71 [149.50-170.32]</t>
  </si>
  <si>
    <t>90.51 [81.53-101.10]</t>
  </si>
  <si>
    <t>160.45 [150.77-170.58]</t>
  </si>
  <si>
    <t>400.61 [324.03-489.82]</t>
  </si>
  <si>
    <t>89.24 [79.46-101.33]</t>
  </si>
  <si>
    <t>21 580 055</t>
  </si>
  <si>
    <t>1 055 444</t>
  </si>
  <si>
    <t>88.48 [74.69-107.10]</t>
  </si>
  <si>
    <t>7 511 712</t>
  </si>
  <si>
    <t>618 363</t>
  </si>
  <si>
    <t>1 023 273</t>
  </si>
  <si>
    <t>12 338 760</t>
  </si>
  <si>
    <t>17 330 401</t>
  </si>
  <si>
    <t>93.58 [71.90-125.65]</t>
  </si>
  <si>
    <t>395.90 [318.82-487.01]</t>
  </si>
  <si>
    <t>25 381 459</t>
  </si>
  <si>
    <t>297.83 [239.60-366.29]</t>
  </si>
  <si>
    <t>394.49 [306.73-501.43]</t>
  </si>
  <si>
    <t>24 047 693</t>
  </si>
  <si>
    <t>149.98 [141.11-159.12]</t>
  </si>
  <si>
    <t>23 608 797</t>
  </si>
  <si>
    <t>Indicator_code</t>
  </si>
  <si>
    <t>Indicator_Name</t>
  </si>
  <si>
    <t>Year</t>
  </si>
  <si>
    <t>CI_Low</t>
  </si>
  <si>
    <t>CI_High</t>
  </si>
  <si>
    <t>Indicator_Type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</si>
</sst>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"/>
      <color theme="1"/>
      <name val="Arial Black"/>
      <family val="2"/>
    </font>
    <font>
      <sz val="13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rial Black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DF753A-4CDD-4DD9-99D3-9984A6EBEC1A}" name="Malaria_NGA" displayName="Malaria_NGA" ref="A1:G141" totalsRowShown="0" headerRowDxfId="8" dataDxfId="7">
  <autoFilter ref="A1:G141" xr:uid="{2DDF753A-4CDD-4DD9-99D3-9984A6EBEC1A}"/>
  <tableColumns count="7">
    <tableColumn id="1" xr3:uid="{57CEE8EC-72E5-4DF4-B7D2-4B7E4ABE6159}" name="Indicator_code" dataDxfId="6"/>
    <tableColumn id="2" xr3:uid="{7FABB56B-95E5-459C-B05B-69583AF8223F}" name="Indicator_Name" dataDxfId="5"/>
    <tableColumn id="3" xr3:uid="{2D853AFD-34C2-4EF3-B2AB-81048A724D8D}" name="Indicator_Type" dataDxfId="4">
      <calculatedColumnFormula array="1">_xlfn.IFS(
  OR(A2="MALARIA_EST_INCIDENCE", A2="MALARIA_EST_MORTALITY"), "Estimated",
  OR(A2="MALARIA_RDT_POS", A2="MALARIA_MICR_POS", A2="MALARIA_MICR_TEST"), "Diagnostic",
  TRUE, "Reported"
)</calculatedColumnFormula>
    </tableColumn>
    <tableColumn id="4" xr3:uid="{E3025CC6-D120-4DFE-839C-D7523F3FF511}" name="Year" dataDxfId="3"/>
    <tableColumn id="5" xr3:uid="{4B7C5923-2548-4B3D-A5BC-987C799F05E4}" name="Value" dataDxfId="2"/>
    <tableColumn id="6" xr3:uid="{CD06DA9A-C95A-400E-AFA6-1458B4D7D666}" name="CI_Low" dataDxfId="1"/>
    <tableColumn id="7" xr3:uid="{06435DC8-5B74-425B-845D-395FBAC56949}" name="CI_Hig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6E8BC-ED01-43DB-B7A4-EA0F568C27EC}">
  <dimension ref="A1:Q141"/>
  <sheetViews>
    <sheetView workbookViewId="0">
      <selection sqref="A1:A1048576"/>
    </sheetView>
  </sheetViews>
  <sheetFormatPr defaultRowHeight="14.5" x14ac:dyDescent="0.35"/>
  <cols>
    <col min="1" max="1" width="23.08984375" customWidth="1"/>
    <col min="2" max="2" width="54.08984375" customWidth="1"/>
    <col min="3" max="3" width="23.90625" customWidth="1"/>
    <col min="4" max="4" width="18.7265625" customWidth="1"/>
    <col min="5" max="5" width="12.08984375" customWidth="1"/>
    <col min="7" max="7" width="1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>
        <v>2015</v>
      </c>
      <c r="E2">
        <v>2015</v>
      </c>
      <c r="F2">
        <v>2015</v>
      </c>
      <c r="G2" t="s">
        <v>20</v>
      </c>
      <c r="H2" t="s">
        <v>21</v>
      </c>
      <c r="I2" t="s">
        <v>22</v>
      </c>
      <c r="J2" t="s">
        <v>23</v>
      </c>
      <c r="N2">
        <v>8633678</v>
      </c>
      <c r="O2" t="s">
        <v>24</v>
      </c>
    </row>
    <row r="3" spans="1:17" x14ac:dyDescent="0.35">
      <c r="A3" t="s">
        <v>25</v>
      </c>
      <c r="B3" t="s">
        <v>26</v>
      </c>
      <c r="C3" t="s">
        <v>27</v>
      </c>
      <c r="D3">
        <v>2018</v>
      </c>
      <c r="E3">
        <v>2018</v>
      </c>
      <c r="F3">
        <v>2018</v>
      </c>
      <c r="G3" t="s">
        <v>20</v>
      </c>
      <c r="H3" t="s">
        <v>21</v>
      </c>
      <c r="I3" t="s">
        <v>22</v>
      </c>
      <c r="J3" t="s">
        <v>23</v>
      </c>
      <c r="N3">
        <v>14548024</v>
      </c>
      <c r="O3" t="s">
        <v>28</v>
      </c>
    </row>
    <row r="4" spans="1:17" x14ac:dyDescent="0.35">
      <c r="A4" t="s">
        <v>29</v>
      </c>
      <c r="B4" t="s">
        <v>30</v>
      </c>
      <c r="C4" t="s">
        <v>31</v>
      </c>
      <c r="D4">
        <v>2000</v>
      </c>
      <c r="E4">
        <v>2000</v>
      </c>
      <c r="F4">
        <v>2000</v>
      </c>
      <c r="G4" t="s">
        <v>20</v>
      </c>
      <c r="H4" t="s">
        <v>21</v>
      </c>
      <c r="I4" t="s">
        <v>22</v>
      </c>
      <c r="J4" t="s">
        <v>23</v>
      </c>
      <c r="N4">
        <v>178.99156189999999</v>
      </c>
      <c r="O4" t="s">
        <v>32</v>
      </c>
      <c r="P4">
        <v>168.9870118</v>
      </c>
      <c r="Q4">
        <v>189.43604640000001</v>
      </c>
    </row>
    <row r="5" spans="1:17" x14ac:dyDescent="0.35">
      <c r="A5" t="s">
        <v>33</v>
      </c>
      <c r="B5" t="s">
        <v>34</v>
      </c>
      <c r="C5" t="s">
        <v>35</v>
      </c>
      <c r="D5">
        <v>2010</v>
      </c>
      <c r="E5">
        <v>2010</v>
      </c>
      <c r="F5">
        <v>2010</v>
      </c>
      <c r="G5" t="s">
        <v>20</v>
      </c>
      <c r="H5" t="s">
        <v>21</v>
      </c>
      <c r="I5" t="s">
        <v>22</v>
      </c>
      <c r="J5" t="s">
        <v>23</v>
      </c>
      <c r="N5">
        <v>363.35818360000002</v>
      </c>
      <c r="O5" t="s">
        <v>36</v>
      </c>
      <c r="P5">
        <v>294.23855600000002</v>
      </c>
      <c r="Q5">
        <v>443.45003250000002</v>
      </c>
    </row>
    <row r="6" spans="1:17" x14ac:dyDescent="0.35">
      <c r="A6" t="s">
        <v>37</v>
      </c>
      <c r="B6" t="s">
        <v>38</v>
      </c>
      <c r="C6" t="s">
        <v>39</v>
      </c>
      <c r="D6">
        <v>2024</v>
      </c>
      <c r="E6">
        <v>2024</v>
      </c>
      <c r="F6">
        <v>2024</v>
      </c>
      <c r="G6" t="s">
        <v>20</v>
      </c>
      <c r="H6" t="s">
        <v>21</v>
      </c>
      <c r="I6" t="s">
        <v>22</v>
      </c>
      <c r="J6" t="s">
        <v>23</v>
      </c>
      <c r="N6">
        <v>20565840</v>
      </c>
      <c r="O6" t="s">
        <v>40</v>
      </c>
    </row>
    <row r="7" spans="1:17" x14ac:dyDescent="0.35">
      <c r="A7" t="s">
        <v>29</v>
      </c>
      <c r="B7" t="s">
        <v>30</v>
      </c>
      <c r="C7" t="s">
        <v>31</v>
      </c>
      <c r="D7">
        <v>2005</v>
      </c>
      <c r="E7">
        <v>2005</v>
      </c>
      <c r="F7">
        <v>2005</v>
      </c>
      <c r="G7" t="s">
        <v>20</v>
      </c>
      <c r="H7" t="s">
        <v>21</v>
      </c>
      <c r="I7" t="s">
        <v>22</v>
      </c>
      <c r="J7" t="s">
        <v>23</v>
      </c>
      <c r="N7">
        <v>144.6751994</v>
      </c>
      <c r="O7" t="s">
        <v>41</v>
      </c>
      <c r="P7">
        <v>135.7879638</v>
      </c>
      <c r="Q7">
        <v>153.94926839999999</v>
      </c>
    </row>
    <row r="8" spans="1:17" x14ac:dyDescent="0.35">
      <c r="A8" t="s">
        <v>17</v>
      </c>
      <c r="B8" t="s">
        <v>18</v>
      </c>
      <c r="C8" t="s">
        <v>19</v>
      </c>
      <c r="D8">
        <v>2020</v>
      </c>
      <c r="E8">
        <v>2020</v>
      </c>
      <c r="F8">
        <v>2020</v>
      </c>
      <c r="G8" t="s">
        <v>20</v>
      </c>
      <c r="H8" t="s">
        <v>21</v>
      </c>
      <c r="I8" t="s">
        <v>22</v>
      </c>
      <c r="J8" t="s">
        <v>23</v>
      </c>
      <c r="N8">
        <v>3254815</v>
      </c>
      <c r="O8" t="s">
        <v>42</v>
      </c>
    </row>
    <row r="9" spans="1:17" x14ac:dyDescent="0.35">
      <c r="A9" t="s">
        <v>29</v>
      </c>
      <c r="B9" t="s">
        <v>30</v>
      </c>
      <c r="C9" t="s">
        <v>31</v>
      </c>
      <c r="D9">
        <v>2008</v>
      </c>
      <c r="E9">
        <v>2008</v>
      </c>
      <c r="F9">
        <v>2008</v>
      </c>
      <c r="G9" t="s">
        <v>20</v>
      </c>
      <c r="H9" t="s">
        <v>21</v>
      </c>
      <c r="I9" t="s">
        <v>22</v>
      </c>
      <c r="J9" t="s">
        <v>23</v>
      </c>
      <c r="N9">
        <v>140.17575450000001</v>
      </c>
      <c r="O9" t="s">
        <v>43</v>
      </c>
      <c r="P9">
        <v>130.56566309999999</v>
      </c>
      <c r="Q9">
        <v>150.20146829999999</v>
      </c>
    </row>
    <row r="10" spans="1:17" x14ac:dyDescent="0.35">
      <c r="A10" t="s">
        <v>44</v>
      </c>
      <c r="B10" t="s">
        <v>45</v>
      </c>
      <c r="C10" t="s">
        <v>46</v>
      </c>
      <c r="D10">
        <v>2021</v>
      </c>
      <c r="E10">
        <v>2021</v>
      </c>
      <c r="F10">
        <v>2021</v>
      </c>
      <c r="G10" t="s">
        <v>20</v>
      </c>
      <c r="H10" t="s">
        <v>21</v>
      </c>
      <c r="I10" t="s">
        <v>22</v>
      </c>
      <c r="J10" t="s">
        <v>23</v>
      </c>
      <c r="N10">
        <v>30202722</v>
      </c>
      <c r="O10" t="s">
        <v>47</v>
      </c>
    </row>
    <row r="11" spans="1:17" x14ac:dyDescent="0.35">
      <c r="A11" t="s">
        <v>48</v>
      </c>
      <c r="B11" t="s">
        <v>49</v>
      </c>
      <c r="C11" t="s">
        <v>50</v>
      </c>
      <c r="D11">
        <v>2015</v>
      </c>
      <c r="E11">
        <v>2015</v>
      </c>
      <c r="F11">
        <v>2015</v>
      </c>
      <c r="G11" t="s">
        <v>20</v>
      </c>
      <c r="H11" t="s">
        <v>21</v>
      </c>
      <c r="I11" t="s">
        <v>22</v>
      </c>
      <c r="J11" t="s">
        <v>23</v>
      </c>
      <c r="N11">
        <v>556871</v>
      </c>
      <c r="O11" t="s">
        <v>51</v>
      </c>
    </row>
    <row r="12" spans="1:17" x14ac:dyDescent="0.35">
      <c r="A12" t="s">
        <v>33</v>
      </c>
      <c r="B12" t="s">
        <v>34</v>
      </c>
      <c r="C12" t="s">
        <v>35</v>
      </c>
      <c r="D12">
        <v>2023</v>
      </c>
      <c r="E12">
        <v>2023</v>
      </c>
      <c r="F12">
        <v>2023</v>
      </c>
      <c r="G12" t="s">
        <v>20</v>
      </c>
      <c r="H12" t="s">
        <v>21</v>
      </c>
      <c r="I12" t="s">
        <v>22</v>
      </c>
      <c r="J12" t="s">
        <v>23</v>
      </c>
      <c r="N12">
        <v>298.9976001</v>
      </c>
      <c r="O12" t="s">
        <v>52</v>
      </c>
      <c r="P12">
        <v>215.61984279999999</v>
      </c>
      <c r="Q12">
        <v>406.19512950000001</v>
      </c>
    </row>
    <row r="13" spans="1:17" x14ac:dyDescent="0.35">
      <c r="A13" t="s">
        <v>29</v>
      </c>
      <c r="B13" t="s">
        <v>30</v>
      </c>
      <c r="C13" t="s">
        <v>31</v>
      </c>
      <c r="D13">
        <v>2022</v>
      </c>
      <c r="E13">
        <v>2022</v>
      </c>
      <c r="F13">
        <v>2022</v>
      </c>
      <c r="G13" t="s">
        <v>20</v>
      </c>
      <c r="H13" t="s">
        <v>21</v>
      </c>
      <c r="I13" t="s">
        <v>22</v>
      </c>
      <c r="J13" t="s">
        <v>23</v>
      </c>
      <c r="N13">
        <v>84.109902399999996</v>
      </c>
      <c r="O13" t="s">
        <v>53</v>
      </c>
      <c r="P13">
        <v>62.989115499999997</v>
      </c>
      <c r="Q13">
        <v>117.06394899999999</v>
      </c>
    </row>
    <row r="14" spans="1:17" x14ac:dyDescent="0.35">
      <c r="A14" t="s">
        <v>37</v>
      </c>
      <c r="B14" t="s">
        <v>38</v>
      </c>
      <c r="C14" t="s">
        <v>39</v>
      </c>
      <c r="D14">
        <v>2022</v>
      </c>
      <c r="E14">
        <v>2022</v>
      </c>
      <c r="F14">
        <v>2022</v>
      </c>
      <c r="G14" t="s">
        <v>20</v>
      </c>
      <c r="H14" t="s">
        <v>21</v>
      </c>
      <c r="I14" t="s">
        <v>22</v>
      </c>
      <c r="J14" t="s">
        <v>23</v>
      </c>
      <c r="N14">
        <v>20672565</v>
      </c>
      <c r="O14" t="s">
        <v>54</v>
      </c>
    </row>
    <row r="15" spans="1:17" x14ac:dyDescent="0.35">
      <c r="A15" t="s">
        <v>17</v>
      </c>
      <c r="B15" t="s">
        <v>18</v>
      </c>
      <c r="C15" t="s">
        <v>19</v>
      </c>
      <c r="D15">
        <v>2016</v>
      </c>
      <c r="E15">
        <v>2016</v>
      </c>
      <c r="F15">
        <v>2016</v>
      </c>
      <c r="G15" t="s">
        <v>20</v>
      </c>
      <c r="H15" t="s">
        <v>21</v>
      </c>
      <c r="I15" t="s">
        <v>22</v>
      </c>
      <c r="J15" t="s">
        <v>23</v>
      </c>
      <c r="N15">
        <v>10358387</v>
      </c>
      <c r="O15" t="s">
        <v>55</v>
      </c>
    </row>
    <row r="16" spans="1:17" x14ac:dyDescent="0.35">
      <c r="A16" t="s">
        <v>44</v>
      </c>
      <c r="B16" t="s">
        <v>45</v>
      </c>
      <c r="C16" t="s">
        <v>46</v>
      </c>
      <c r="D16">
        <v>2016</v>
      </c>
      <c r="E16">
        <v>2016</v>
      </c>
      <c r="F16">
        <v>2016</v>
      </c>
      <c r="G16" t="s">
        <v>20</v>
      </c>
      <c r="H16" t="s">
        <v>21</v>
      </c>
      <c r="I16" t="s">
        <v>22</v>
      </c>
      <c r="J16" t="s">
        <v>23</v>
      </c>
      <c r="N16">
        <v>29113322</v>
      </c>
      <c r="O16" t="s">
        <v>56</v>
      </c>
    </row>
    <row r="17" spans="1:17" x14ac:dyDescent="0.35">
      <c r="A17" t="s">
        <v>33</v>
      </c>
      <c r="B17" t="s">
        <v>34</v>
      </c>
      <c r="C17" t="s">
        <v>35</v>
      </c>
      <c r="D17">
        <v>2018</v>
      </c>
      <c r="E17">
        <v>2018</v>
      </c>
      <c r="F17">
        <v>2018</v>
      </c>
      <c r="G17" t="s">
        <v>20</v>
      </c>
      <c r="H17" t="s">
        <v>21</v>
      </c>
      <c r="I17" t="s">
        <v>22</v>
      </c>
      <c r="J17" t="s">
        <v>23</v>
      </c>
      <c r="N17">
        <v>291.07353699999999</v>
      </c>
      <c r="O17" t="s">
        <v>57</v>
      </c>
      <c r="P17">
        <v>228.98335850000001</v>
      </c>
      <c r="Q17">
        <v>367.06931659999998</v>
      </c>
    </row>
    <row r="18" spans="1:17" x14ac:dyDescent="0.35">
      <c r="A18" t="s">
        <v>29</v>
      </c>
      <c r="B18" t="s">
        <v>30</v>
      </c>
      <c r="C18" t="s">
        <v>31</v>
      </c>
      <c r="D18">
        <v>2023</v>
      </c>
      <c r="E18">
        <v>2023</v>
      </c>
      <c r="F18">
        <v>2023</v>
      </c>
      <c r="G18" t="s">
        <v>20</v>
      </c>
      <c r="H18" t="s">
        <v>21</v>
      </c>
      <c r="I18" t="s">
        <v>22</v>
      </c>
      <c r="J18" t="s">
        <v>23</v>
      </c>
      <c r="N18">
        <v>81.045556090000005</v>
      </c>
      <c r="O18" t="s">
        <v>58</v>
      </c>
      <c r="P18">
        <v>59.320685449999999</v>
      </c>
      <c r="Q18">
        <v>116.0078807</v>
      </c>
    </row>
    <row r="19" spans="1:17" x14ac:dyDescent="0.35">
      <c r="A19" t="s">
        <v>48</v>
      </c>
      <c r="B19" t="s">
        <v>49</v>
      </c>
      <c r="C19" t="s">
        <v>50</v>
      </c>
      <c r="D19">
        <v>2022</v>
      </c>
      <c r="E19">
        <v>2022</v>
      </c>
      <c r="F19">
        <v>2022</v>
      </c>
      <c r="G19" t="s">
        <v>20</v>
      </c>
      <c r="H19" t="s">
        <v>21</v>
      </c>
      <c r="I19" t="s">
        <v>22</v>
      </c>
      <c r="J19" t="s">
        <v>23</v>
      </c>
      <c r="N19">
        <v>2377840</v>
      </c>
      <c r="O19" t="s">
        <v>59</v>
      </c>
    </row>
    <row r="20" spans="1:17" x14ac:dyDescent="0.35">
      <c r="A20" t="s">
        <v>33</v>
      </c>
      <c r="B20" t="s">
        <v>34</v>
      </c>
      <c r="C20" t="s">
        <v>35</v>
      </c>
      <c r="D20">
        <v>2020</v>
      </c>
      <c r="E20">
        <v>2020</v>
      </c>
      <c r="F20">
        <v>2020</v>
      </c>
      <c r="G20" t="s">
        <v>20</v>
      </c>
      <c r="H20" t="s">
        <v>21</v>
      </c>
      <c r="I20" t="s">
        <v>22</v>
      </c>
      <c r="J20" t="s">
        <v>23</v>
      </c>
      <c r="N20">
        <v>304.36879149999999</v>
      </c>
      <c r="O20" t="s">
        <v>60</v>
      </c>
      <c r="P20">
        <v>218.68927790000001</v>
      </c>
      <c r="Q20">
        <v>414.27901509999998</v>
      </c>
    </row>
    <row r="21" spans="1:17" x14ac:dyDescent="0.35">
      <c r="A21" t="s">
        <v>29</v>
      </c>
      <c r="B21" t="s">
        <v>30</v>
      </c>
      <c r="C21" t="s">
        <v>31</v>
      </c>
      <c r="D21">
        <v>2007</v>
      </c>
      <c r="E21">
        <v>2007</v>
      </c>
      <c r="F21">
        <v>2007</v>
      </c>
      <c r="G21" t="s">
        <v>20</v>
      </c>
      <c r="H21" t="s">
        <v>21</v>
      </c>
      <c r="I21" t="s">
        <v>22</v>
      </c>
      <c r="J21" t="s">
        <v>23</v>
      </c>
      <c r="N21">
        <v>151.1457819</v>
      </c>
      <c r="O21" t="s">
        <v>61</v>
      </c>
      <c r="P21">
        <v>141.2029866</v>
      </c>
      <c r="Q21">
        <v>161.51919749999999</v>
      </c>
    </row>
    <row r="22" spans="1:17" x14ac:dyDescent="0.35">
      <c r="A22" t="s">
        <v>62</v>
      </c>
      <c r="B22" t="s">
        <v>63</v>
      </c>
      <c r="C22" t="s">
        <v>64</v>
      </c>
      <c r="D22">
        <v>2017</v>
      </c>
      <c r="E22">
        <v>2017</v>
      </c>
      <c r="F22">
        <v>2017</v>
      </c>
      <c r="G22" t="s">
        <v>20</v>
      </c>
      <c r="H22" t="s">
        <v>21</v>
      </c>
      <c r="I22" t="s">
        <v>22</v>
      </c>
      <c r="J22" t="s">
        <v>23</v>
      </c>
      <c r="N22">
        <v>13087878</v>
      </c>
      <c r="O22" t="s">
        <v>65</v>
      </c>
    </row>
    <row r="23" spans="1:17" x14ac:dyDescent="0.35">
      <c r="A23" t="s">
        <v>17</v>
      </c>
      <c r="B23" t="s">
        <v>18</v>
      </c>
      <c r="C23" t="s">
        <v>19</v>
      </c>
      <c r="D23">
        <v>2023</v>
      </c>
      <c r="E23">
        <v>2023</v>
      </c>
      <c r="F23">
        <v>2023</v>
      </c>
      <c r="G23" t="s">
        <v>20</v>
      </c>
      <c r="H23" t="s">
        <v>21</v>
      </c>
      <c r="I23" t="s">
        <v>22</v>
      </c>
      <c r="J23" t="s">
        <v>23</v>
      </c>
      <c r="N23">
        <v>2313036</v>
      </c>
      <c r="O23" t="s">
        <v>66</v>
      </c>
    </row>
    <row r="24" spans="1:17" x14ac:dyDescent="0.35">
      <c r="A24" t="s">
        <v>44</v>
      </c>
      <c r="B24" t="s">
        <v>45</v>
      </c>
      <c r="C24" t="s">
        <v>46</v>
      </c>
      <c r="D24">
        <v>2022</v>
      </c>
      <c r="E24">
        <v>2022</v>
      </c>
      <c r="F24">
        <v>2022</v>
      </c>
      <c r="G24" t="s">
        <v>20</v>
      </c>
      <c r="H24" t="s">
        <v>21</v>
      </c>
      <c r="I24" t="s">
        <v>22</v>
      </c>
      <c r="J24" t="s">
        <v>23</v>
      </c>
      <c r="N24">
        <v>32983459</v>
      </c>
      <c r="O24" t="s">
        <v>67</v>
      </c>
    </row>
    <row r="25" spans="1:17" x14ac:dyDescent="0.35">
      <c r="A25" t="s">
        <v>68</v>
      </c>
      <c r="B25" t="s">
        <v>69</v>
      </c>
      <c r="C25" t="s">
        <v>70</v>
      </c>
      <c r="D25">
        <v>2023</v>
      </c>
      <c r="E25">
        <v>2023</v>
      </c>
      <c r="F25">
        <v>2023</v>
      </c>
      <c r="G25" t="s">
        <v>20</v>
      </c>
      <c r="H25" t="s">
        <v>21</v>
      </c>
      <c r="I25" t="s">
        <v>22</v>
      </c>
      <c r="J25" t="s">
        <v>23</v>
      </c>
      <c r="N25">
        <v>24098323</v>
      </c>
      <c r="O25" t="s">
        <v>71</v>
      </c>
    </row>
    <row r="26" spans="1:17" x14ac:dyDescent="0.35">
      <c r="A26" t="s">
        <v>33</v>
      </c>
      <c r="B26" t="s">
        <v>34</v>
      </c>
      <c r="C26" t="s">
        <v>35</v>
      </c>
      <c r="D26">
        <v>2009</v>
      </c>
      <c r="E26">
        <v>2009</v>
      </c>
      <c r="F26">
        <v>2009</v>
      </c>
      <c r="G26" t="s">
        <v>20</v>
      </c>
      <c r="H26" t="s">
        <v>21</v>
      </c>
      <c r="I26" t="s">
        <v>22</v>
      </c>
      <c r="J26" t="s">
        <v>23</v>
      </c>
      <c r="N26">
        <v>389.96037039999999</v>
      </c>
      <c r="O26" t="s">
        <v>72</v>
      </c>
      <c r="P26">
        <v>319.67473910000001</v>
      </c>
      <c r="Q26">
        <v>471.62001670000001</v>
      </c>
    </row>
    <row r="27" spans="1:17" x14ac:dyDescent="0.35">
      <c r="A27" t="s">
        <v>62</v>
      </c>
      <c r="B27" t="s">
        <v>63</v>
      </c>
      <c r="C27" t="s">
        <v>64</v>
      </c>
      <c r="D27">
        <v>2023</v>
      </c>
      <c r="E27">
        <v>2023</v>
      </c>
      <c r="F27">
        <v>2023</v>
      </c>
      <c r="G27" t="s">
        <v>20</v>
      </c>
      <c r="H27" t="s">
        <v>21</v>
      </c>
      <c r="I27" t="s">
        <v>22</v>
      </c>
      <c r="J27" t="s">
        <v>23</v>
      </c>
      <c r="N27">
        <v>24098323</v>
      </c>
      <c r="O27" t="s">
        <v>71</v>
      </c>
    </row>
    <row r="28" spans="1:17" x14ac:dyDescent="0.35">
      <c r="A28" t="s">
        <v>25</v>
      </c>
      <c r="B28" t="s">
        <v>26</v>
      </c>
      <c r="C28" t="s">
        <v>27</v>
      </c>
      <c r="D28">
        <v>2023</v>
      </c>
      <c r="E28">
        <v>2023</v>
      </c>
      <c r="F28">
        <v>2023</v>
      </c>
      <c r="G28" t="s">
        <v>20</v>
      </c>
      <c r="H28" t="s">
        <v>21</v>
      </c>
      <c r="I28" t="s">
        <v>22</v>
      </c>
      <c r="J28" t="s">
        <v>23</v>
      </c>
      <c r="N28">
        <v>24098323</v>
      </c>
      <c r="O28" t="s">
        <v>71</v>
      </c>
    </row>
    <row r="29" spans="1:17" x14ac:dyDescent="0.35">
      <c r="A29" t="s">
        <v>44</v>
      </c>
      <c r="B29" t="s">
        <v>45</v>
      </c>
      <c r="C29" t="s">
        <v>46</v>
      </c>
      <c r="D29">
        <v>2015</v>
      </c>
      <c r="E29">
        <v>2015</v>
      </c>
      <c r="F29">
        <v>2015</v>
      </c>
      <c r="G29" t="s">
        <v>20</v>
      </c>
      <c r="H29" t="s">
        <v>21</v>
      </c>
      <c r="I29" t="s">
        <v>22</v>
      </c>
      <c r="J29" t="s">
        <v>23</v>
      </c>
      <c r="N29">
        <v>20243915</v>
      </c>
      <c r="O29" t="s">
        <v>73</v>
      </c>
    </row>
    <row r="30" spans="1:17" x14ac:dyDescent="0.35">
      <c r="A30" t="s">
        <v>48</v>
      </c>
      <c r="B30" t="s">
        <v>49</v>
      </c>
      <c r="C30" t="s">
        <v>50</v>
      </c>
      <c r="D30">
        <v>2024</v>
      </c>
      <c r="E30">
        <v>2024</v>
      </c>
      <c r="F30">
        <v>2024</v>
      </c>
      <c r="G30" t="s">
        <v>20</v>
      </c>
      <c r="H30" t="s">
        <v>21</v>
      </c>
      <c r="I30" t="s">
        <v>22</v>
      </c>
      <c r="J30" t="s">
        <v>23</v>
      </c>
      <c r="N30">
        <v>2117656</v>
      </c>
      <c r="O30" t="s">
        <v>74</v>
      </c>
    </row>
    <row r="31" spans="1:17" x14ac:dyDescent="0.35">
      <c r="A31" t="s">
        <v>75</v>
      </c>
      <c r="B31" t="s">
        <v>76</v>
      </c>
      <c r="C31" t="s">
        <v>77</v>
      </c>
      <c r="D31">
        <v>2016</v>
      </c>
      <c r="E31">
        <v>2016</v>
      </c>
      <c r="F31">
        <v>2016</v>
      </c>
      <c r="G31" t="s">
        <v>20</v>
      </c>
      <c r="H31" t="s">
        <v>21</v>
      </c>
      <c r="I31" t="s">
        <v>22</v>
      </c>
      <c r="J31" t="s">
        <v>23</v>
      </c>
      <c r="N31">
        <v>901141</v>
      </c>
      <c r="O31" t="s">
        <v>78</v>
      </c>
    </row>
    <row r="32" spans="1:17" x14ac:dyDescent="0.35">
      <c r="A32" t="s">
        <v>33</v>
      </c>
      <c r="B32" t="s">
        <v>34</v>
      </c>
      <c r="C32" t="s">
        <v>35</v>
      </c>
      <c r="D32">
        <v>2016</v>
      </c>
      <c r="E32">
        <v>2016</v>
      </c>
      <c r="F32">
        <v>2016</v>
      </c>
      <c r="G32" t="s">
        <v>20</v>
      </c>
      <c r="H32" t="s">
        <v>21</v>
      </c>
      <c r="I32" t="s">
        <v>22</v>
      </c>
      <c r="J32" t="s">
        <v>23</v>
      </c>
      <c r="N32">
        <v>284.82542030000002</v>
      </c>
      <c r="O32" t="s">
        <v>79</v>
      </c>
      <c r="P32">
        <v>225.41075280000001</v>
      </c>
      <c r="Q32">
        <v>353.73006770000001</v>
      </c>
    </row>
    <row r="33" spans="1:17" x14ac:dyDescent="0.35">
      <c r="A33" t="s">
        <v>75</v>
      </c>
      <c r="B33" t="s">
        <v>76</v>
      </c>
      <c r="C33" t="s">
        <v>77</v>
      </c>
      <c r="D33">
        <v>2022</v>
      </c>
      <c r="E33">
        <v>2022</v>
      </c>
      <c r="F33">
        <v>2022</v>
      </c>
      <c r="G33" t="s">
        <v>20</v>
      </c>
      <c r="H33" t="s">
        <v>21</v>
      </c>
      <c r="I33" t="s">
        <v>22</v>
      </c>
      <c r="J33" t="s">
        <v>23</v>
      </c>
      <c r="N33">
        <v>3186224</v>
      </c>
      <c r="O33" t="s">
        <v>80</v>
      </c>
    </row>
    <row r="34" spans="1:17" x14ac:dyDescent="0.35">
      <c r="A34" t="s">
        <v>33</v>
      </c>
      <c r="B34" t="s">
        <v>34</v>
      </c>
      <c r="C34" t="s">
        <v>35</v>
      </c>
      <c r="D34">
        <v>2011</v>
      </c>
      <c r="E34">
        <v>2011</v>
      </c>
      <c r="F34">
        <v>2011</v>
      </c>
      <c r="G34" t="s">
        <v>20</v>
      </c>
      <c r="H34" t="s">
        <v>21</v>
      </c>
      <c r="I34" t="s">
        <v>22</v>
      </c>
      <c r="J34" t="s">
        <v>23</v>
      </c>
      <c r="N34">
        <v>339.50662749999998</v>
      </c>
      <c r="O34" t="s">
        <v>81</v>
      </c>
      <c r="P34">
        <v>273.75947209999998</v>
      </c>
      <c r="Q34">
        <v>416.1799168</v>
      </c>
    </row>
    <row r="35" spans="1:17" x14ac:dyDescent="0.35">
      <c r="A35" t="s">
        <v>44</v>
      </c>
      <c r="B35" t="s">
        <v>45</v>
      </c>
      <c r="C35" t="s">
        <v>46</v>
      </c>
      <c r="D35">
        <v>2017</v>
      </c>
      <c r="E35">
        <v>2017</v>
      </c>
      <c r="F35">
        <v>2017</v>
      </c>
      <c r="G35" t="s">
        <v>20</v>
      </c>
      <c r="H35" t="s">
        <v>21</v>
      </c>
      <c r="I35" t="s">
        <v>22</v>
      </c>
      <c r="J35" t="s">
        <v>23</v>
      </c>
      <c r="N35">
        <v>25106551</v>
      </c>
      <c r="O35" t="s">
        <v>82</v>
      </c>
    </row>
    <row r="36" spans="1:17" x14ac:dyDescent="0.35">
      <c r="A36" t="s">
        <v>29</v>
      </c>
      <c r="B36" t="s">
        <v>30</v>
      </c>
      <c r="C36" t="s">
        <v>31</v>
      </c>
      <c r="D36">
        <v>2002</v>
      </c>
      <c r="E36">
        <v>2002</v>
      </c>
      <c r="F36">
        <v>2002</v>
      </c>
      <c r="G36" t="s">
        <v>20</v>
      </c>
      <c r="H36" t="s">
        <v>21</v>
      </c>
      <c r="I36" t="s">
        <v>22</v>
      </c>
      <c r="J36" t="s">
        <v>23</v>
      </c>
      <c r="N36">
        <v>172.52159309999999</v>
      </c>
      <c r="O36" t="s">
        <v>83</v>
      </c>
      <c r="P36">
        <v>162.531407</v>
      </c>
      <c r="Q36">
        <v>182.91630230000001</v>
      </c>
    </row>
    <row r="37" spans="1:17" x14ac:dyDescent="0.35">
      <c r="A37" t="s">
        <v>68</v>
      </c>
      <c r="B37" t="s">
        <v>69</v>
      </c>
      <c r="C37" t="s">
        <v>70</v>
      </c>
      <c r="D37">
        <v>2024</v>
      </c>
      <c r="E37">
        <v>2024</v>
      </c>
      <c r="F37">
        <v>2024</v>
      </c>
      <c r="G37" t="s">
        <v>20</v>
      </c>
      <c r="H37" t="s">
        <v>21</v>
      </c>
      <c r="I37" t="s">
        <v>22</v>
      </c>
      <c r="J37" t="s">
        <v>23</v>
      </c>
      <c r="N37">
        <v>22683496</v>
      </c>
      <c r="O37" t="s">
        <v>84</v>
      </c>
    </row>
    <row r="38" spans="1:17" x14ac:dyDescent="0.35">
      <c r="A38" t="s">
        <v>33</v>
      </c>
      <c r="B38" t="s">
        <v>34</v>
      </c>
      <c r="C38" t="s">
        <v>35</v>
      </c>
      <c r="D38">
        <v>2019</v>
      </c>
      <c r="E38">
        <v>2019</v>
      </c>
      <c r="F38">
        <v>2019</v>
      </c>
      <c r="G38" t="s">
        <v>20</v>
      </c>
      <c r="H38" t="s">
        <v>21</v>
      </c>
      <c r="I38" t="s">
        <v>22</v>
      </c>
      <c r="J38" t="s">
        <v>23</v>
      </c>
      <c r="N38">
        <v>292.99995319999999</v>
      </c>
      <c r="O38" t="s">
        <v>85</v>
      </c>
      <c r="P38">
        <v>226.4616604</v>
      </c>
      <c r="Q38">
        <v>376.22314710000001</v>
      </c>
    </row>
    <row r="39" spans="1:17" x14ac:dyDescent="0.35">
      <c r="A39" t="s">
        <v>86</v>
      </c>
      <c r="B39" t="s">
        <v>87</v>
      </c>
      <c r="C39" t="s">
        <v>88</v>
      </c>
      <c r="D39">
        <v>2015</v>
      </c>
      <c r="E39">
        <v>2015</v>
      </c>
      <c r="F39">
        <v>2015</v>
      </c>
      <c r="G39" t="s">
        <v>20</v>
      </c>
      <c r="H39" t="s">
        <v>21</v>
      </c>
      <c r="I39" t="s">
        <v>22</v>
      </c>
      <c r="J39" t="s">
        <v>23</v>
      </c>
      <c r="N39">
        <v>16702261</v>
      </c>
      <c r="O39" t="s">
        <v>89</v>
      </c>
    </row>
    <row r="40" spans="1:17" x14ac:dyDescent="0.35">
      <c r="A40" t="s">
        <v>29</v>
      </c>
      <c r="B40" t="s">
        <v>30</v>
      </c>
      <c r="C40" t="s">
        <v>31</v>
      </c>
      <c r="D40">
        <v>2015</v>
      </c>
      <c r="E40">
        <v>2015</v>
      </c>
      <c r="F40">
        <v>2015</v>
      </c>
      <c r="G40" t="s">
        <v>20</v>
      </c>
      <c r="H40" t="s">
        <v>21</v>
      </c>
      <c r="I40" t="s">
        <v>22</v>
      </c>
      <c r="J40" t="s">
        <v>23</v>
      </c>
      <c r="N40">
        <v>88.661213059999994</v>
      </c>
      <c r="O40" t="s">
        <v>90</v>
      </c>
      <c r="P40">
        <v>77.62335041</v>
      </c>
      <c r="Q40">
        <v>102.5940621</v>
      </c>
    </row>
    <row r="41" spans="1:17" x14ac:dyDescent="0.35">
      <c r="A41" t="s">
        <v>62</v>
      </c>
      <c r="B41" t="s">
        <v>63</v>
      </c>
      <c r="C41" t="s">
        <v>64</v>
      </c>
      <c r="D41">
        <v>2015</v>
      </c>
      <c r="E41">
        <v>2015</v>
      </c>
      <c r="F41">
        <v>2015</v>
      </c>
      <c r="G41" t="s">
        <v>20</v>
      </c>
      <c r="H41" t="s">
        <v>21</v>
      </c>
      <c r="I41" t="s">
        <v>22</v>
      </c>
      <c r="J41" t="s">
        <v>23</v>
      </c>
      <c r="N41">
        <v>8068583</v>
      </c>
      <c r="O41" t="s">
        <v>91</v>
      </c>
    </row>
    <row r="42" spans="1:17" x14ac:dyDescent="0.35">
      <c r="A42" t="s">
        <v>37</v>
      </c>
      <c r="B42" t="s">
        <v>38</v>
      </c>
      <c r="C42" t="s">
        <v>39</v>
      </c>
      <c r="D42">
        <v>2023</v>
      </c>
      <c r="E42">
        <v>2023</v>
      </c>
      <c r="F42">
        <v>2023</v>
      </c>
      <c r="G42" t="s">
        <v>20</v>
      </c>
      <c r="H42" t="s">
        <v>21</v>
      </c>
      <c r="I42" t="s">
        <v>22</v>
      </c>
      <c r="J42" t="s">
        <v>23</v>
      </c>
      <c r="N42">
        <v>21649680</v>
      </c>
      <c r="O42" t="s">
        <v>92</v>
      </c>
    </row>
    <row r="43" spans="1:17" x14ac:dyDescent="0.35">
      <c r="A43" t="s">
        <v>17</v>
      </c>
      <c r="B43" t="s">
        <v>18</v>
      </c>
      <c r="C43" t="s">
        <v>19</v>
      </c>
      <c r="D43">
        <v>2018</v>
      </c>
      <c r="E43">
        <v>2018</v>
      </c>
      <c r="F43">
        <v>2018</v>
      </c>
      <c r="G43" t="s">
        <v>20</v>
      </c>
      <c r="H43" t="s">
        <v>21</v>
      </c>
      <c r="I43" t="s">
        <v>22</v>
      </c>
      <c r="J43" t="s">
        <v>23</v>
      </c>
      <c r="N43">
        <v>5934356</v>
      </c>
      <c r="O43" t="s">
        <v>93</v>
      </c>
    </row>
    <row r="44" spans="1:17" x14ac:dyDescent="0.35">
      <c r="A44" t="s">
        <v>29</v>
      </c>
      <c r="B44" t="s">
        <v>30</v>
      </c>
      <c r="C44" t="s">
        <v>31</v>
      </c>
      <c r="D44">
        <v>2001</v>
      </c>
      <c r="E44">
        <v>2001</v>
      </c>
      <c r="F44">
        <v>2001</v>
      </c>
      <c r="G44" t="s">
        <v>20</v>
      </c>
      <c r="H44" t="s">
        <v>21</v>
      </c>
      <c r="I44" t="s">
        <v>22</v>
      </c>
      <c r="J44" t="s">
        <v>23</v>
      </c>
      <c r="N44">
        <v>174.3334959</v>
      </c>
      <c r="O44" t="s">
        <v>94</v>
      </c>
      <c r="P44">
        <v>164.39603080000001</v>
      </c>
      <c r="Q44">
        <v>184.6536347</v>
      </c>
    </row>
    <row r="45" spans="1:17" x14ac:dyDescent="0.35">
      <c r="A45" t="s">
        <v>17</v>
      </c>
      <c r="B45" t="s">
        <v>18</v>
      </c>
      <c r="C45" t="s">
        <v>19</v>
      </c>
      <c r="D45">
        <v>2017</v>
      </c>
      <c r="E45">
        <v>2017</v>
      </c>
      <c r="F45">
        <v>2017</v>
      </c>
      <c r="G45" t="s">
        <v>20</v>
      </c>
      <c r="H45" t="s">
        <v>21</v>
      </c>
      <c r="I45" t="s">
        <v>22</v>
      </c>
      <c r="J45" t="s">
        <v>23</v>
      </c>
      <c r="N45">
        <v>7131390</v>
      </c>
      <c r="O45" t="s">
        <v>95</v>
      </c>
    </row>
    <row r="46" spans="1:17" x14ac:dyDescent="0.35">
      <c r="A46" t="s">
        <v>33</v>
      </c>
      <c r="B46" t="s">
        <v>34</v>
      </c>
      <c r="C46" t="s">
        <v>35</v>
      </c>
      <c r="D46">
        <v>2006</v>
      </c>
      <c r="E46">
        <v>2006</v>
      </c>
      <c r="F46">
        <v>2006</v>
      </c>
      <c r="G46" t="s">
        <v>20</v>
      </c>
      <c r="H46" t="s">
        <v>21</v>
      </c>
      <c r="I46" t="s">
        <v>22</v>
      </c>
      <c r="J46" t="s">
        <v>23</v>
      </c>
      <c r="N46">
        <v>398.5742219</v>
      </c>
      <c r="O46" t="s">
        <v>96</v>
      </c>
      <c r="P46">
        <v>321.3379213</v>
      </c>
      <c r="Q46">
        <v>488.26784279999998</v>
      </c>
    </row>
    <row r="47" spans="1:17" x14ac:dyDescent="0.35">
      <c r="A47" t="s">
        <v>75</v>
      </c>
      <c r="B47" t="s">
        <v>76</v>
      </c>
      <c r="C47" t="s">
        <v>77</v>
      </c>
      <c r="D47">
        <v>2021</v>
      </c>
      <c r="E47">
        <v>2021</v>
      </c>
      <c r="F47">
        <v>2021</v>
      </c>
      <c r="G47" t="s">
        <v>20</v>
      </c>
      <c r="H47" t="s">
        <v>21</v>
      </c>
      <c r="I47" t="s">
        <v>22</v>
      </c>
      <c r="J47" t="s">
        <v>23</v>
      </c>
      <c r="N47">
        <v>3405012</v>
      </c>
      <c r="O47" t="s">
        <v>97</v>
      </c>
    </row>
    <row r="48" spans="1:17" x14ac:dyDescent="0.35">
      <c r="A48" t="s">
        <v>33</v>
      </c>
      <c r="B48" t="s">
        <v>34</v>
      </c>
      <c r="C48" t="s">
        <v>35</v>
      </c>
      <c r="D48">
        <v>2003</v>
      </c>
      <c r="E48">
        <v>2003</v>
      </c>
      <c r="F48">
        <v>2003</v>
      </c>
      <c r="G48" t="s">
        <v>20</v>
      </c>
      <c r="H48" t="s">
        <v>21</v>
      </c>
      <c r="I48" t="s">
        <v>22</v>
      </c>
      <c r="J48" t="s">
        <v>23</v>
      </c>
      <c r="N48">
        <v>382.08798660000002</v>
      </c>
      <c r="O48" t="s">
        <v>98</v>
      </c>
      <c r="P48">
        <v>298.42326159999999</v>
      </c>
      <c r="Q48">
        <v>484.06887280000001</v>
      </c>
    </row>
    <row r="49" spans="1:17" x14ac:dyDescent="0.35">
      <c r="A49" t="s">
        <v>29</v>
      </c>
      <c r="B49" t="s">
        <v>30</v>
      </c>
      <c r="C49" t="s">
        <v>31</v>
      </c>
      <c r="D49">
        <v>2009</v>
      </c>
      <c r="E49">
        <v>2009</v>
      </c>
      <c r="F49">
        <v>2009</v>
      </c>
      <c r="G49" t="s">
        <v>20</v>
      </c>
      <c r="H49" t="s">
        <v>21</v>
      </c>
      <c r="I49" t="s">
        <v>22</v>
      </c>
      <c r="J49" t="s">
        <v>23</v>
      </c>
      <c r="N49">
        <v>134.8335222</v>
      </c>
      <c r="O49" t="s">
        <v>99</v>
      </c>
      <c r="P49">
        <v>125.0315614</v>
      </c>
      <c r="Q49">
        <v>145.19710169999999</v>
      </c>
    </row>
    <row r="50" spans="1:17" x14ac:dyDescent="0.35">
      <c r="A50" t="s">
        <v>33</v>
      </c>
      <c r="B50" t="s">
        <v>34</v>
      </c>
      <c r="C50" t="s">
        <v>35</v>
      </c>
      <c r="D50">
        <v>2004</v>
      </c>
      <c r="E50">
        <v>2004</v>
      </c>
      <c r="F50">
        <v>2004</v>
      </c>
      <c r="G50" t="s">
        <v>20</v>
      </c>
      <c r="H50" t="s">
        <v>21</v>
      </c>
      <c r="I50" t="s">
        <v>22</v>
      </c>
      <c r="J50" t="s">
        <v>23</v>
      </c>
      <c r="N50">
        <v>390.1169701</v>
      </c>
      <c r="O50" t="s">
        <v>100</v>
      </c>
      <c r="P50">
        <v>309.7066385</v>
      </c>
      <c r="Q50">
        <v>483.19671890000001</v>
      </c>
    </row>
    <row r="51" spans="1:17" x14ac:dyDescent="0.35">
      <c r="A51" t="s">
        <v>68</v>
      </c>
      <c r="B51" t="s">
        <v>69</v>
      </c>
      <c r="C51" t="s">
        <v>70</v>
      </c>
      <c r="D51">
        <v>2020</v>
      </c>
      <c r="E51">
        <v>2020</v>
      </c>
      <c r="F51">
        <v>2020</v>
      </c>
      <c r="G51" t="s">
        <v>20</v>
      </c>
      <c r="H51" t="s">
        <v>21</v>
      </c>
      <c r="I51" t="s">
        <v>22</v>
      </c>
      <c r="J51" t="s">
        <v>23</v>
      </c>
      <c r="N51">
        <v>18325240</v>
      </c>
      <c r="O51" t="s">
        <v>101</v>
      </c>
    </row>
    <row r="52" spans="1:17" x14ac:dyDescent="0.35">
      <c r="A52" t="s">
        <v>62</v>
      </c>
      <c r="B52" t="s">
        <v>63</v>
      </c>
      <c r="C52" t="s">
        <v>64</v>
      </c>
      <c r="D52">
        <v>2024</v>
      </c>
      <c r="E52">
        <v>2024</v>
      </c>
      <c r="F52">
        <v>2024</v>
      </c>
      <c r="G52" t="s">
        <v>20</v>
      </c>
      <c r="H52" t="s">
        <v>21</v>
      </c>
      <c r="I52" t="s">
        <v>22</v>
      </c>
      <c r="J52" t="s">
        <v>23</v>
      </c>
      <c r="N52">
        <v>22208760</v>
      </c>
      <c r="O52" t="s">
        <v>102</v>
      </c>
    </row>
    <row r="53" spans="1:17" x14ac:dyDescent="0.35">
      <c r="A53" t="s">
        <v>33</v>
      </c>
      <c r="B53" t="s">
        <v>34</v>
      </c>
      <c r="C53" t="s">
        <v>35</v>
      </c>
      <c r="D53">
        <v>2017</v>
      </c>
      <c r="E53">
        <v>2017</v>
      </c>
      <c r="F53">
        <v>2017</v>
      </c>
      <c r="G53" t="s">
        <v>20</v>
      </c>
      <c r="H53" t="s">
        <v>21</v>
      </c>
      <c r="I53" t="s">
        <v>22</v>
      </c>
      <c r="J53" t="s">
        <v>23</v>
      </c>
      <c r="N53">
        <v>288.9798255</v>
      </c>
      <c r="O53" t="s">
        <v>103</v>
      </c>
      <c r="P53">
        <v>229.07687179999999</v>
      </c>
      <c r="Q53">
        <v>359.80387189999999</v>
      </c>
    </row>
    <row r="54" spans="1:17" x14ac:dyDescent="0.35">
      <c r="A54" t="s">
        <v>25</v>
      </c>
      <c r="B54" t="s">
        <v>26</v>
      </c>
      <c r="C54" t="s">
        <v>27</v>
      </c>
      <c r="D54">
        <v>2015</v>
      </c>
      <c r="E54">
        <v>2015</v>
      </c>
      <c r="F54">
        <v>2015</v>
      </c>
      <c r="G54" t="s">
        <v>20</v>
      </c>
      <c r="H54" t="s">
        <v>21</v>
      </c>
      <c r="I54" t="s">
        <v>22</v>
      </c>
      <c r="J54" t="s">
        <v>23</v>
      </c>
      <c r="N54">
        <v>8068583</v>
      </c>
      <c r="O54" t="s">
        <v>91</v>
      </c>
    </row>
    <row r="55" spans="1:17" x14ac:dyDescent="0.35">
      <c r="A55" t="s">
        <v>62</v>
      </c>
      <c r="B55" t="s">
        <v>63</v>
      </c>
      <c r="C55" t="s">
        <v>64</v>
      </c>
      <c r="D55">
        <v>2018</v>
      </c>
      <c r="E55">
        <v>2018</v>
      </c>
      <c r="F55">
        <v>2018</v>
      </c>
      <c r="G55" t="s">
        <v>20</v>
      </c>
      <c r="H55" t="s">
        <v>21</v>
      </c>
      <c r="I55" t="s">
        <v>22</v>
      </c>
      <c r="J55" t="s">
        <v>23</v>
      </c>
      <c r="N55">
        <v>14548024</v>
      </c>
      <c r="O55" t="s">
        <v>28</v>
      </c>
    </row>
    <row r="56" spans="1:17" x14ac:dyDescent="0.35">
      <c r="A56" t="s">
        <v>68</v>
      </c>
      <c r="B56" t="s">
        <v>69</v>
      </c>
      <c r="C56" t="s">
        <v>70</v>
      </c>
      <c r="D56">
        <v>2019</v>
      </c>
      <c r="E56">
        <v>2019</v>
      </c>
      <c r="F56">
        <v>2019</v>
      </c>
      <c r="G56" t="s">
        <v>20</v>
      </c>
      <c r="H56" t="s">
        <v>21</v>
      </c>
      <c r="I56" t="s">
        <v>22</v>
      </c>
      <c r="J56" t="s">
        <v>23</v>
      </c>
      <c r="N56">
        <v>19806915</v>
      </c>
      <c r="O56" t="s">
        <v>104</v>
      </c>
    </row>
    <row r="57" spans="1:17" x14ac:dyDescent="0.35">
      <c r="A57" t="s">
        <v>75</v>
      </c>
      <c r="B57" t="s">
        <v>76</v>
      </c>
      <c r="C57" t="s">
        <v>77</v>
      </c>
      <c r="D57">
        <v>2015</v>
      </c>
      <c r="E57">
        <v>2015</v>
      </c>
      <c r="F57">
        <v>2015</v>
      </c>
      <c r="G57" t="s">
        <v>20</v>
      </c>
      <c r="H57" t="s">
        <v>21</v>
      </c>
      <c r="I57" t="s">
        <v>22</v>
      </c>
      <c r="J57" t="s">
        <v>23</v>
      </c>
      <c r="N57">
        <v>839849</v>
      </c>
      <c r="O57" t="s">
        <v>105</v>
      </c>
    </row>
    <row r="58" spans="1:17" x14ac:dyDescent="0.35">
      <c r="A58" t="s">
        <v>29</v>
      </c>
      <c r="B58" t="s">
        <v>30</v>
      </c>
      <c r="C58" t="s">
        <v>31</v>
      </c>
      <c r="D58">
        <v>2019</v>
      </c>
      <c r="E58">
        <v>2019</v>
      </c>
      <c r="F58">
        <v>2019</v>
      </c>
      <c r="G58" t="s">
        <v>20</v>
      </c>
      <c r="H58" t="s">
        <v>21</v>
      </c>
      <c r="I58" t="s">
        <v>22</v>
      </c>
      <c r="J58" t="s">
        <v>23</v>
      </c>
      <c r="N58">
        <v>86.669424759999998</v>
      </c>
      <c r="O58" t="s">
        <v>106</v>
      </c>
      <c r="P58">
        <v>69.755007699999993</v>
      </c>
      <c r="Q58">
        <v>110.3481718</v>
      </c>
    </row>
    <row r="59" spans="1:17" x14ac:dyDescent="0.35">
      <c r="A59" t="s">
        <v>48</v>
      </c>
      <c r="B59" t="s">
        <v>49</v>
      </c>
      <c r="C59" t="s">
        <v>50</v>
      </c>
      <c r="D59">
        <v>2021</v>
      </c>
      <c r="E59">
        <v>2021</v>
      </c>
      <c r="F59">
        <v>2021</v>
      </c>
      <c r="G59" t="s">
        <v>20</v>
      </c>
      <c r="H59" t="s">
        <v>21</v>
      </c>
      <c r="I59" t="s">
        <v>22</v>
      </c>
      <c r="J59" t="s">
        <v>23</v>
      </c>
      <c r="N59">
        <v>2559742</v>
      </c>
      <c r="O59" t="s">
        <v>107</v>
      </c>
    </row>
    <row r="60" spans="1:17" x14ac:dyDescent="0.35">
      <c r="A60" t="s">
        <v>33</v>
      </c>
      <c r="B60" t="s">
        <v>34</v>
      </c>
      <c r="C60" t="s">
        <v>35</v>
      </c>
      <c r="D60">
        <v>2012</v>
      </c>
      <c r="E60">
        <v>2012</v>
      </c>
      <c r="F60">
        <v>2012</v>
      </c>
      <c r="G60" t="s">
        <v>20</v>
      </c>
      <c r="H60" t="s">
        <v>21</v>
      </c>
      <c r="I60" t="s">
        <v>22</v>
      </c>
      <c r="J60" t="s">
        <v>23</v>
      </c>
      <c r="N60">
        <v>316.22041819999998</v>
      </c>
      <c r="O60" t="s">
        <v>108</v>
      </c>
      <c r="P60">
        <v>255.23952120000001</v>
      </c>
      <c r="Q60">
        <v>389.00729030000002</v>
      </c>
    </row>
    <row r="61" spans="1:17" x14ac:dyDescent="0.35">
      <c r="A61" t="s">
        <v>48</v>
      </c>
      <c r="B61" t="s">
        <v>49</v>
      </c>
      <c r="C61" t="s">
        <v>50</v>
      </c>
      <c r="D61">
        <v>2020</v>
      </c>
      <c r="E61">
        <v>2020</v>
      </c>
      <c r="F61">
        <v>2020</v>
      </c>
      <c r="G61" t="s">
        <v>20</v>
      </c>
      <c r="H61" t="s">
        <v>21</v>
      </c>
      <c r="I61" t="s">
        <v>22</v>
      </c>
      <c r="J61" t="s">
        <v>23</v>
      </c>
      <c r="N61">
        <v>2312163</v>
      </c>
      <c r="O61" t="s">
        <v>109</v>
      </c>
    </row>
    <row r="62" spans="1:17" x14ac:dyDescent="0.35">
      <c r="A62" t="s">
        <v>68</v>
      </c>
      <c r="B62" t="s">
        <v>69</v>
      </c>
      <c r="C62" t="s">
        <v>70</v>
      </c>
      <c r="D62">
        <v>2015</v>
      </c>
      <c r="E62">
        <v>2015</v>
      </c>
      <c r="F62">
        <v>2015</v>
      </c>
      <c r="G62" t="s">
        <v>20</v>
      </c>
      <c r="H62" t="s">
        <v>21</v>
      </c>
      <c r="I62" t="s">
        <v>22</v>
      </c>
      <c r="J62" t="s">
        <v>23</v>
      </c>
      <c r="N62">
        <v>8068583</v>
      </c>
      <c r="O62" t="s">
        <v>91</v>
      </c>
    </row>
    <row r="63" spans="1:17" x14ac:dyDescent="0.35">
      <c r="A63" t="s">
        <v>25</v>
      </c>
      <c r="B63" t="s">
        <v>26</v>
      </c>
      <c r="C63" t="s">
        <v>27</v>
      </c>
      <c r="D63">
        <v>2019</v>
      </c>
      <c r="E63">
        <v>2019</v>
      </c>
      <c r="F63">
        <v>2019</v>
      </c>
      <c r="G63" t="s">
        <v>20</v>
      </c>
      <c r="H63" t="s">
        <v>21</v>
      </c>
      <c r="I63" t="s">
        <v>22</v>
      </c>
      <c r="J63" t="s">
        <v>23</v>
      </c>
      <c r="N63">
        <v>19806915</v>
      </c>
      <c r="O63" t="s">
        <v>104</v>
      </c>
    </row>
    <row r="64" spans="1:17" x14ac:dyDescent="0.35">
      <c r="A64" t="s">
        <v>68</v>
      </c>
      <c r="B64" t="s">
        <v>69</v>
      </c>
      <c r="C64" t="s">
        <v>70</v>
      </c>
      <c r="D64">
        <v>2016</v>
      </c>
      <c r="E64">
        <v>2016</v>
      </c>
      <c r="F64">
        <v>2016</v>
      </c>
      <c r="G64" t="s">
        <v>20</v>
      </c>
      <c r="H64" t="s">
        <v>21</v>
      </c>
      <c r="I64" t="s">
        <v>22</v>
      </c>
      <c r="J64" t="s">
        <v>23</v>
      </c>
      <c r="N64">
        <v>13598282</v>
      </c>
      <c r="O64" t="s">
        <v>110</v>
      </c>
    </row>
    <row r="65" spans="1:17" x14ac:dyDescent="0.35">
      <c r="A65" t="s">
        <v>48</v>
      </c>
      <c r="B65" t="s">
        <v>49</v>
      </c>
      <c r="C65" t="s">
        <v>50</v>
      </c>
      <c r="D65">
        <v>2023</v>
      </c>
      <c r="E65">
        <v>2023</v>
      </c>
      <c r="F65">
        <v>2023</v>
      </c>
      <c r="G65" t="s">
        <v>20</v>
      </c>
      <c r="H65" t="s">
        <v>21</v>
      </c>
      <c r="I65" t="s">
        <v>22</v>
      </c>
      <c r="J65" t="s">
        <v>23</v>
      </c>
      <c r="N65">
        <v>2448643</v>
      </c>
      <c r="O65" t="s">
        <v>111</v>
      </c>
    </row>
    <row r="66" spans="1:17" x14ac:dyDescent="0.35">
      <c r="A66" t="s">
        <v>75</v>
      </c>
      <c r="B66" t="s">
        <v>76</v>
      </c>
      <c r="C66" t="s">
        <v>77</v>
      </c>
      <c r="D66">
        <v>2023</v>
      </c>
      <c r="E66">
        <v>2023</v>
      </c>
      <c r="F66">
        <v>2023</v>
      </c>
      <c r="G66" t="s">
        <v>20</v>
      </c>
      <c r="H66" t="s">
        <v>21</v>
      </c>
      <c r="I66" t="s">
        <v>22</v>
      </c>
      <c r="J66" t="s">
        <v>23</v>
      </c>
      <c r="N66">
        <v>3200671</v>
      </c>
      <c r="O66" t="s">
        <v>112</v>
      </c>
    </row>
    <row r="67" spans="1:17" x14ac:dyDescent="0.35">
      <c r="A67" t="s">
        <v>68</v>
      </c>
      <c r="B67" t="s">
        <v>69</v>
      </c>
      <c r="C67" t="s">
        <v>70</v>
      </c>
      <c r="D67">
        <v>2022</v>
      </c>
      <c r="E67">
        <v>2022</v>
      </c>
      <c r="F67">
        <v>2022</v>
      </c>
      <c r="G67" t="s">
        <v>20</v>
      </c>
      <c r="H67" t="s">
        <v>21</v>
      </c>
      <c r="I67" t="s">
        <v>22</v>
      </c>
      <c r="J67" t="s">
        <v>23</v>
      </c>
      <c r="N67">
        <v>23050405</v>
      </c>
      <c r="O67" t="s">
        <v>113</v>
      </c>
    </row>
    <row r="68" spans="1:17" x14ac:dyDescent="0.35">
      <c r="A68" t="s">
        <v>17</v>
      </c>
      <c r="B68" t="s">
        <v>18</v>
      </c>
      <c r="C68" t="s">
        <v>19</v>
      </c>
      <c r="D68">
        <v>2021</v>
      </c>
      <c r="E68">
        <v>2021</v>
      </c>
      <c r="F68">
        <v>2021</v>
      </c>
      <c r="G68" t="s">
        <v>20</v>
      </c>
      <c r="H68" t="s">
        <v>21</v>
      </c>
      <c r="I68" t="s">
        <v>22</v>
      </c>
      <c r="J68" t="s">
        <v>23</v>
      </c>
      <c r="N68">
        <v>2283611</v>
      </c>
      <c r="O68" t="s">
        <v>114</v>
      </c>
    </row>
    <row r="69" spans="1:17" x14ac:dyDescent="0.35">
      <c r="A69" t="s">
        <v>62</v>
      </c>
      <c r="B69" t="s">
        <v>63</v>
      </c>
      <c r="C69" t="s">
        <v>64</v>
      </c>
      <c r="D69">
        <v>2019</v>
      </c>
      <c r="E69">
        <v>2019</v>
      </c>
      <c r="F69">
        <v>2019</v>
      </c>
      <c r="G69" t="s">
        <v>20</v>
      </c>
      <c r="H69" t="s">
        <v>21</v>
      </c>
      <c r="I69" t="s">
        <v>22</v>
      </c>
      <c r="J69" t="s">
        <v>23</v>
      </c>
      <c r="N69">
        <v>19806915</v>
      </c>
      <c r="O69" t="s">
        <v>104</v>
      </c>
    </row>
    <row r="70" spans="1:17" x14ac:dyDescent="0.35">
      <c r="A70" t="s">
        <v>86</v>
      </c>
      <c r="B70" t="s">
        <v>87</v>
      </c>
      <c r="C70" t="s">
        <v>88</v>
      </c>
      <c r="D70">
        <v>2022</v>
      </c>
      <c r="E70">
        <v>2022</v>
      </c>
      <c r="F70">
        <v>2022</v>
      </c>
      <c r="G70" t="s">
        <v>20</v>
      </c>
      <c r="H70" t="s">
        <v>21</v>
      </c>
      <c r="I70" t="s">
        <v>22</v>
      </c>
      <c r="J70" t="s">
        <v>23</v>
      </c>
      <c r="N70">
        <v>24968466</v>
      </c>
      <c r="O70" t="s">
        <v>115</v>
      </c>
    </row>
    <row r="71" spans="1:17" x14ac:dyDescent="0.35">
      <c r="A71" t="s">
        <v>33</v>
      </c>
      <c r="B71" t="s">
        <v>34</v>
      </c>
      <c r="C71" t="s">
        <v>35</v>
      </c>
      <c r="D71">
        <v>2000</v>
      </c>
      <c r="E71">
        <v>2000</v>
      </c>
      <c r="F71">
        <v>2000</v>
      </c>
      <c r="G71" t="s">
        <v>20</v>
      </c>
      <c r="H71" t="s">
        <v>21</v>
      </c>
      <c r="I71" t="s">
        <v>22</v>
      </c>
      <c r="J71" t="s">
        <v>23</v>
      </c>
      <c r="N71">
        <v>401.78839959999999</v>
      </c>
      <c r="O71" t="s">
        <v>116</v>
      </c>
      <c r="P71">
        <v>312.40775300000001</v>
      </c>
      <c r="Q71">
        <v>508.79932689999998</v>
      </c>
    </row>
    <row r="72" spans="1:17" x14ac:dyDescent="0.35">
      <c r="A72" t="s">
        <v>48</v>
      </c>
      <c r="B72" t="s">
        <v>49</v>
      </c>
      <c r="C72" t="s">
        <v>50</v>
      </c>
      <c r="D72">
        <v>2019</v>
      </c>
      <c r="E72">
        <v>2019</v>
      </c>
      <c r="F72">
        <v>2019</v>
      </c>
      <c r="G72" t="s">
        <v>20</v>
      </c>
      <c r="H72" t="s">
        <v>21</v>
      </c>
      <c r="I72" t="s">
        <v>22</v>
      </c>
      <c r="J72" t="s">
        <v>23</v>
      </c>
      <c r="N72">
        <v>2476514</v>
      </c>
      <c r="O72" t="s">
        <v>117</v>
      </c>
    </row>
    <row r="73" spans="1:17" x14ac:dyDescent="0.35">
      <c r="A73" t="s">
        <v>86</v>
      </c>
      <c r="B73" t="s">
        <v>87</v>
      </c>
      <c r="C73" t="s">
        <v>88</v>
      </c>
      <c r="D73">
        <v>2018</v>
      </c>
      <c r="E73">
        <v>2018</v>
      </c>
      <c r="F73">
        <v>2018</v>
      </c>
      <c r="G73" t="s">
        <v>20</v>
      </c>
      <c r="H73" t="s">
        <v>21</v>
      </c>
      <c r="I73" t="s">
        <v>22</v>
      </c>
      <c r="J73" t="s">
        <v>23</v>
      </c>
      <c r="N73">
        <v>20482380</v>
      </c>
      <c r="O73" t="s">
        <v>118</v>
      </c>
    </row>
    <row r="74" spans="1:17" x14ac:dyDescent="0.35">
      <c r="A74" t="s">
        <v>29</v>
      </c>
      <c r="B74" t="s">
        <v>30</v>
      </c>
      <c r="C74" t="s">
        <v>31</v>
      </c>
      <c r="D74">
        <v>2018</v>
      </c>
      <c r="E74">
        <v>2018</v>
      </c>
      <c r="F74">
        <v>2018</v>
      </c>
      <c r="G74" t="s">
        <v>20</v>
      </c>
      <c r="H74" t="s">
        <v>21</v>
      </c>
      <c r="I74" t="s">
        <v>22</v>
      </c>
      <c r="J74" t="s">
        <v>23</v>
      </c>
      <c r="N74">
        <v>88.365424529999999</v>
      </c>
      <c r="O74" t="s">
        <v>119</v>
      </c>
      <c r="P74">
        <v>72.666014649999994</v>
      </c>
      <c r="Q74">
        <v>109.4323405</v>
      </c>
    </row>
    <row r="75" spans="1:17" x14ac:dyDescent="0.35">
      <c r="A75" t="s">
        <v>68</v>
      </c>
      <c r="B75" t="s">
        <v>69</v>
      </c>
      <c r="C75" t="s">
        <v>70</v>
      </c>
      <c r="D75">
        <v>2021</v>
      </c>
      <c r="E75">
        <v>2021</v>
      </c>
      <c r="F75">
        <v>2021</v>
      </c>
      <c r="G75" t="s">
        <v>20</v>
      </c>
      <c r="H75" t="s">
        <v>21</v>
      </c>
      <c r="I75" t="s">
        <v>22</v>
      </c>
      <c r="J75" t="s">
        <v>23</v>
      </c>
      <c r="N75">
        <v>21325186</v>
      </c>
      <c r="O75" t="s">
        <v>120</v>
      </c>
    </row>
    <row r="76" spans="1:17" x14ac:dyDescent="0.35">
      <c r="A76" t="s">
        <v>37</v>
      </c>
      <c r="B76" t="s">
        <v>38</v>
      </c>
      <c r="C76" t="s">
        <v>39</v>
      </c>
      <c r="D76">
        <v>2018</v>
      </c>
      <c r="E76">
        <v>2018</v>
      </c>
      <c r="F76">
        <v>2018</v>
      </c>
      <c r="G76" t="s">
        <v>20</v>
      </c>
      <c r="H76" t="s">
        <v>21</v>
      </c>
      <c r="I76" t="s">
        <v>22</v>
      </c>
      <c r="J76" t="s">
        <v>23</v>
      </c>
      <c r="N76">
        <v>13524751</v>
      </c>
      <c r="O76" t="s">
        <v>121</v>
      </c>
    </row>
    <row r="77" spans="1:17" x14ac:dyDescent="0.35">
      <c r="A77" t="s">
        <v>33</v>
      </c>
      <c r="B77" t="s">
        <v>34</v>
      </c>
      <c r="C77" t="s">
        <v>35</v>
      </c>
      <c r="D77">
        <v>2021</v>
      </c>
      <c r="E77">
        <v>2021</v>
      </c>
      <c r="F77">
        <v>2021</v>
      </c>
      <c r="G77" t="s">
        <v>20</v>
      </c>
      <c r="H77" t="s">
        <v>21</v>
      </c>
      <c r="I77" t="s">
        <v>22</v>
      </c>
      <c r="J77" t="s">
        <v>23</v>
      </c>
      <c r="N77">
        <v>299.27110549999998</v>
      </c>
      <c r="O77" t="s">
        <v>122</v>
      </c>
      <c r="P77">
        <v>217.44338740000001</v>
      </c>
      <c r="Q77">
        <v>407.25210959999998</v>
      </c>
    </row>
    <row r="78" spans="1:17" x14ac:dyDescent="0.35">
      <c r="A78" t="s">
        <v>33</v>
      </c>
      <c r="B78" t="s">
        <v>34</v>
      </c>
      <c r="C78" t="s">
        <v>35</v>
      </c>
      <c r="D78">
        <v>2002</v>
      </c>
      <c r="E78">
        <v>2002</v>
      </c>
      <c r="F78">
        <v>2002</v>
      </c>
      <c r="G78" t="s">
        <v>20</v>
      </c>
      <c r="H78" t="s">
        <v>21</v>
      </c>
      <c r="I78" t="s">
        <v>22</v>
      </c>
      <c r="J78" t="s">
        <v>23</v>
      </c>
      <c r="N78">
        <v>381.74663290000001</v>
      </c>
      <c r="O78" t="s">
        <v>123</v>
      </c>
      <c r="P78">
        <v>296.16447310000001</v>
      </c>
      <c r="Q78">
        <v>485.3366436</v>
      </c>
    </row>
    <row r="79" spans="1:17" x14ac:dyDescent="0.35">
      <c r="A79" t="s">
        <v>44</v>
      </c>
      <c r="B79" t="s">
        <v>45</v>
      </c>
      <c r="C79" t="s">
        <v>46</v>
      </c>
      <c r="D79">
        <v>2024</v>
      </c>
      <c r="E79">
        <v>2024</v>
      </c>
      <c r="F79">
        <v>2024</v>
      </c>
      <c r="G79" t="s">
        <v>20</v>
      </c>
      <c r="H79" t="s">
        <v>21</v>
      </c>
      <c r="I79" t="s">
        <v>22</v>
      </c>
      <c r="J79" t="s">
        <v>23</v>
      </c>
      <c r="N79">
        <v>33349112</v>
      </c>
      <c r="O79" t="s">
        <v>124</v>
      </c>
    </row>
    <row r="80" spans="1:17" x14ac:dyDescent="0.35">
      <c r="A80" t="s">
        <v>86</v>
      </c>
      <c r="B80" t="s">
        <v>87</v>
      </c>
      <c r="C80" t="s">
        <v>88</v>
      </c>
      <c r="D80">
        <v>2023</v>
      </c>
      <c r="E80">
        <v>2023</v>
      </c>
      <c r="F80">
        <v>2023</v>
      </c>
      <c r="G80" t="s">
        <v>20</v>
      </c>
      <c r="H80" t="s">
        <v>21</v>
      </c>
      <c r="I80" t="s">
        <v>22</v>
      </c>
      <c r="J80" t="s">
        <v>23</v>
      </c>
      <c r="N80">
        <v>26411359</v>
      </c>
      <c r="O80" t="s">
        <v>125</v>
      </c>
    </row>
    <row r="81" spans="1:17" x14ac:dyDescent="0.35">
      <c r="A81" t="s">
        <v>33</v>
      </c>
      <c r="B81" t="s">
        <v>34</v>
      </c>
      <c r="C81" t="s">
        <v>35</v>
      </c>
      <c r="D81">
        <v>2014</v>
      </c>
      <c r="E81">
        <v>2014</v>
      </c>
      <c r="F81">
        <v>2014</v>
      </c>
      <c r="G81" t="s">
        <v>20</v>
      </c>
      <c r="H81" t="s">
        <v>21</v>
      </c>
      <c r="I81" t="s">
        <v>22</v>
      </c>
      <c r="J81" t="s">
        <v>23</v>
      </c>
      <c r="N81">
        <v>287.70492510000003</v>
      </c>
      <c r="O81" t="s">
        <v>126</v>
      </c>
      <c r="P81">
        <v>230.3116421</v>
      </c>
      <c r="Q81">
        <v>354.64426600000002</v>
      </c>
    </row>
    <row r="82" spans="1:17" x14ac:dyDescent="0.35">
      <c r="A82" t="s">
        <v>29</v>
      </c>
      <c r="B82" t="s">
        <v>30</v>
      </c>
      <c r="C82" t="s">
        <v>31</v>
      </c>
      <c r="D82">
        <v>2011</v>
      </c>
      <c r="E82">
        <v>2011</v>
      </c>
      <c r="F82">
        <v>2011</v>
      </c>
      <c r="G82" t="s">
        <v>20</v>
      </c>
      <c r="H82" t="s">
        <v>21</v>
      </c>
      <c r="I82" t="s">
        <v>22</v>
      </c>
      <c r="J82" t="s">
        <v>23</v>
      </c>
      <c r="N82">
        <v>107.2286335</v>
      </c>
      <c r="O82" t="s">
        <v>127</v>
      </c>
      <c r="P82">
        <v>98.167432379999994</v>
      </c>
      <c r="Q82">
        <v>117.09678599999999</v>
      </c>
    </row>
    <row r="83" spans="1:17" x14ac:dyDescent="0.35">
      <c r="A83" t="s">
        <v>37</v>
      </c>
      <c r="B83" t="s">
        <v>38</v>
      </c>
      <c r="C83" t="s">
        <v>39</v>
      </c>
      <c r="D83">
        <v>2020</v>
      </c>
      <c r="E83">
        <v>2020</v>
      </c>
      <c r="F83">
        <v>2020</v>
      </c>
      <c r="G83" t="s">
        <v>20</v>
      </c>
      <c r="H83" t="s">
        <v>21</v>
      </c>
      <c r="I83" t="s">
        <v>22</v>
      </c>
      <c r="J83" t="s">
        <v>23</v>
      </c>
      <c r="N83">
        <v>16013077</v>
      </c>
      <c r="O83" t="s">
        <v>128</v>
      </c>
    </row>
    <row r="84" spans="1:17" x14ac:dyDescent="0.35">
      <c r="A84" t="s">
        <v>33</v>
      </c>
      <c r="B84" t="s">
        <v>34</v>
      </c>
      <c r="C84" t="s">
        <v>35</v>
      </c>
      <c r="D84">
        <v>2015</v>
      </c>
      <c r="E84">
        <v>2015</v>
      </c>
      <c r="F84">
        <v>2015</v>
      </c>
      <c r="G84" t="s">
        <v>20</v>
      </c>
      <c r="H84" t="s">
        <v>21</v>
      </c>
      <c r="I84" t="s">
        <v>22</v>
      </c>
      <c r="J84" t="s">
        <v>23</v>
      </c>
      <c r="N84">
        <v>283.81281799999999</v>
      </c>
      <c r="O84" t="s">
        <v>129</v>
      </c>
      <c r="P84">
        <v>227.06864759999999</v>
      </c>
      <c r="Q84">
        <v>351.95487680000002</v>
      </c>
    </row>
    <row r="85" spans="1:17" x14ac:dyDescent="0.35">
      <c r="A85" t="s">
        <v>25</v>
      </c>
      <c r="B85" t="s">
        <v>26</v>
      </c>
      <c r="C85" t="s">
        <v>27</v>
      </c>
      <c r="D85">
        <v>2016</v>
      </c>
      <c r="E85">
        <v>2016</v>
      </c>
      <c r="F85">
        <v>2016</v>
      </c>
      <c r="G85" t="s">
        <v>20</v>
      </c>
      <c r="H85" t="s">
        <v>21</v>
      </c>
      <c r="I85" t="s">
        <v>22</v>
      </c>
      <c r="J85" t="s">
        <v>23</v>
      </c>
      <c r="N85">
        <v>13598282</v>
      </c>
      <c r="O85" t="s">
        <v>110</v>
      </c>
    </row>
    <row r="86" spans="1:17" x14ac:dyDescent="0.35">
      <c r="A86" t="s">
        <v>75</v>
      </c>
      <c r="B86" t="s">
        <v>76</v>
      </c>
      <c r="C86" t="s">
        <v>77</v>
      </c>
      <c r="D86">
        <v>2019</v>
      </c>
      <c r="E86">
        <v>2019</v>
      </c>
      <c r="F86">
        <v>2019</v>
      </c>
      <c r="G86" t="s">
        <v>20</v>
      </c>
      <c r="H86" t="s">
        <v>21</v>
      </c>
      <c r="I86" t="s">
        <v>22</v>
      </c>
      <c r="J86" t="s">
        <v>23</v>
      </c>
      <c r="N86">
        <v>3298156</v>
      </c>
      <c r="O86" t="s">
        <v>130</v>
      </c>
    </row>
    <row r="87" spans="1:17" x14ac:dyDescent="0.35">
      <c r="A87" t="s">
        <v>17</v>
      </c>
      <c r="B87" t="s">
        <v>18</v>
      </c>
      <c r="C87" t="s">
        <v>19</v>
      </c>
      <c r="D87">
        <v>2019</v>
      </c>
      <c r="E87">
        <v>2019</v>
      </c>
      <c r="F87">
        <v>2019</v>
      </c>
      <c r="G87" t="s">
        <v>20</v>
      </c>
      <c r="H87" t="s">
        <v>21</v>
      </c>
      <c r="I87" t="s">
        <v>22</v>
      </c>
      <c r="J87" t="s">
        <v>23</v>
      </c>
      <c r="N87">
        <v>3569878</v>
      </c>
      <c r="O87" t="s">
        <v>131</v>
      </c>
    </row>
    <row r="88" spans="1:17" x14ac:dyDescent="0.35">
      <c r="A88" t="s">
        <v>86</v>
      </c>
      <c r="B88" t="s">
        <v>87</v>
      </c>
      <c r="C88" t="s">
        <v>88</v>
      </c>
      <c r="D88">
        <v>2016</v>
      </c>
      <c r="E88">
        <v>2016</v>
      </c>
      <c r="F88">
        <v>2016</v>
      </c>
      <c r="G88" t="s">
        <v>20</v>
      </c>
      <c r="H88" t="s">
        <v>21</v>
      </c>
      <c r="I88" t="s">
        <v>22</v>
      </c>
      <c r="J88" t="s">
        <v>23</v>
      </c>
      <c r="N88">
        <v>23956669</v>
      </c>
      <c r="O88" t="s">
        <v>132</v>
      </c>
    </row>
    <row r="89" spans="1:17" x14ac:dyDescent="0.35">
      <c r="A89" t="s">
        <v>33</v>
      </c>
      <c r="B89" t="s">
        <v>34</v>
      </c>
      <c r="C89" t="s">
        <v>35</v>
      </c>
      <c r="D89">
        <v>2008</v>
      </c>
      <c r="E89">
        <v>2008</v>
      </c>
      <c r="F89">
        <v>2008</v>
      </c>
      <c r="G89" t="s">
        <v>20</v>
      </c>
      <c r="H89" t="s">
        <v>21</v>
      </c>
      <c r="I89" t="s">
        <v>22</v>
      </c>
      <c r="J89" t="s">
        <v>23</v>
      </c>
      <c r="N89">
        <v>402.01486319999998</v>
      </c>
      <c r="O89" t="s">
        <v>133</v>
      </c>
      <c r="P89">
        <v>328.55853029999997</v>
      </c>
      <c r="Q89">
        <v>486.985995</v>
      </c>
    </row>
    <row r="90" spans="1:17" x14ac:dyDescent="0.35">
      <c r="A90" t="s">
        <v>68</v>
      </c>
      <c r="B90" t="s">
        <v>69</v>
      </c>
      <c r="C90" t="s">
        <v>70</v>
      </c>
      <c r="D90">
        <v>2017</v>
      </c>
      <c r="E90">
        <v>2017</v>
      </c>
      <c r="F90">
        <v>2017</v>
      </c>
      <c r="G90" t="s">
        <v>20</v>
      </c>
      <c r="H90" t="s">
        <v>21</v>
      </c>
      <c r="I90" t="s">
        <v>22</v>
      </c>
      <c r="J90" t="s">
        <v>23</v>
      </c>
      <c r="N90">
        <v>13087878</v>
      </c>
      <c r="O90" t="s">
        <v>65</v>
      </c>
    </row>
    <row r="91" spans="1:17" x14ac:dyDescent="0.35">
      <c r="A91" t="s">
        <v>33</v>
      </c>
      <c r="B91" t="s">
        <v>34</v>
      </c>
      <c r="C91" t="s">
        <v>35</v>
      </c>
      <c r="D91">
        <v>2022</v>
      </c>
      <c r="E91">
        <v>2022</v>
      </c>
      <c r="F91">
        <v>2022</v>
      </c>
      <c r="G91" t="s">
        <v>20</v>
      </c>
      <c r="H91" t="s">
        <v>21</v>
      </c>
      <c r="I91" t="s">
        <v>22</v>
      </c>
      <c r="J91" t="s">
        <v>23</v>
      </c>
      <c r="N91">
        <v>298.99760079999999</v>
      </c>
      <c r="O91" t="s">
        <v>134</v>
      </c>
      <c r="P91">
        <v>215.47839759999999</v>
      </c>
      <c r="Q91">
        <v>402.84616369999998</v>
      </c>
    </row>
    <row r="92" spans="1:17" x14ac:dyDescent="0.35">
      <c r="A92" t="s">
        <v>86</v>
      </c>
      <c r="B92" t="s">
        <v>87</v>
      </c>
      <c r="C92" t="s">
        <v>88</v>
      </c>
      <c r="D92">
        <v>2017</v>
      </c>
      <c r="E92">
        <v>2017</v>
      </c>
      <c r="F92">
        <v>2017</v>
      </c>
      <c r="G92" t="s">
        <v>20</v>
      </c>
      <c r="H92" t="s">
        <v>21</v>
      </c>
      <c r="I92" t="s">
        <v>22</v>
      </c>
      <c r="J92" t="s">
        <v>23</v>
      </c>
      <c r="N92">
        <v>20219268</v>
      </c>
      <c r="O92" t="s">
        <v>135</v>
      </c>
    </row>
    <row r="93" spans="1:17" x14ac:dyDescent="0.35">
      <c r="A93" t="s">
        <v>17</v>
      </c>
      <c r="B93" t="s">
        <v>18</v>
      </c>
      <c r="C93" t="s">
        <v>19</v>
      </c>
      <c r="D93">
        <v>2024</v>
      </c>
      <c r="E93">
        <v>2024</v>
      </c>
      <c r="F93">
        <v>2024</v>
      </c>
      <c r="G93" t="s">
        <v>20</v>
      </c>
      <c r="H93" t="s">
        <v>21</v>
      </c>
      <c r="I93" t="s">
        <v>22</v>
      </c>
      <c r="J93" t="s">
        <v>23</v>
      </c>
      <c r="N93">
        <v>1364197</v>
      </c>
      <c r="O93" t="s">
        <v>136</v>
      </c>
    </row>
    <row r="94" spans="1:17" x14ac:dyDescent="0.35">
      <c r="A94" t="s">
        <v>37</v>
      </c>
      <c r="B94" t="s">
        <v>38</v>
      </c>
      <c r="C94" t="s">
        <v>39</v>
      </c>
      <c r="D94">
        <v>2016</v>
      </c>
      <c r="E94">
        <v>2016</v>
      </c>
      <c r="F94">
        <v>2016</v>
      </c>
      <c r="G94" t="s">
        <v>20</v>
      </c>
      <c r="H94" t="s">
        <v>21</v>
      </c>
      <c r="I94" t="s">
        <v>22</v>
      </c>
      <c r="J94" t="s">
        <v>23</v>
      </c>
      <c r="N94">
        <v>12979919</v>
      </c>
      <c r="O94" t="s">
        <v>137</v>
      </c>
    </row>
    <row r="95" spans="1:17" x14ac:dyDescent="0.35">
      <c r="A95" t="s">
        <v>37</v>
      </c>
      <c r="B95" t="s">
        <v>38</v>
      </c>
      <c r="C95" t="s">
        <v>39</v>
      </c>
      <c r="D95">
        <v>2021</v>
      </c>
      <c r="E95">
        <v>2021</v>
      </c>
      <c r="F95">
        <v>2021</v>
      </c>
      <c r="G95" t="s">
        <v>20</v>
      </c>
      <c r="H95" t="s">
        <v>21</v>
      </c>
      <c r="I95" t="s">
        <v>22</v>
      </c>
      <c r="J95" t="s">
        <v>23</v>
      </c>
      <c r="N95">
        <v>18765444</v>
      </c>
      <c r="O95" t="s">
        <v>138</v>
      </c>
    </row>
    <row r="96" spans="1:17" x14ac:dyDescent="0.35">
      <c r="A96" t="s">
        <v>48</v>
      </c>
      <c r="B96" t="s">
        <v>49</v>
      </c>
      <c r="C96" t="s">
        <v>50</v>
      </c>
      <c r="D96">
        <v>2017</v>
      </c>
      <c r="E96">
        <v>2017</v>
      </c>
      <c r="F96">
        <v>2017</v>
      </c>
      <c r="G96" t="s">
        <v>20</v>
      </c>
      <c r="H96" t="s">
        <v>21</v>
      </c>
      <c r="I96" t="s">
        <v>22</v>
      </c>
      <c r="J96" t="s">
        <v>23</v>
      </c>
      <c r="N96">
        <v>749118</v>
      </c>
      <c r="O96" t="s">
        <v>139</v>
      </c>
    </row>
    <row r="97" spans="1:17" x14ac:dyDescent="0.35">
      <c r="A97" t="s">
        <v>29</v>
      </c>
      <c r="B97" t="s">
        <v>30</v>
      </c>
      <c r="C97" t="s">
        <v>31</v>
      </c>
      <c r="D97">
        <v>2016</v>
      </c>
      <c r="E97">
        <v>2016</v>
      </c>
      <c r="F97">
        <v>2016</v>
      </c>
      <c r="G97" t="s">
        <v>20</v>
      </c>
      <c r="H97" t="s">
        <v>21</v>
      </c>
      <c r="I97" t="s">
        <v>22</v>
      </c>
      <c r="J97" t="s">
        <v>23</v>
      </c>
      <c r="N97">
        <v>87.916366710000005</v>
      </c>
      <c r="O97" t="s">
        <v>140</v>
      </c>
      <c r="P97">
        <v>75.590963020000004</v>
      </c>
      <c r="Q97">
        <v>103.89892330000001</v>
      </c>
    </row>
    <row r="98" spans="1:17" x14ac:dyDescent="0.35">
      <c r="A98" t="s">
        <v>44</v>
      </c>
      <c r="B98" t="s">
        <v>45</v>
      </c>
      <c r="C98" t="s">
        <v>46</v>
      </c>
      <c r="D98">
        <v>2019</v>
      </c>
      <c r="E98">
        <v>2019</v>
      </c>
      <c r="F98">
        <v>2019</v>
      </c>
      <c r="G98" t="s">
        <v>20</v>
      </c>
      <c r="H98" t="s">
        <v>21</v>
      </c>
      <c r="I98" t="s">
        <v>22</v>
      </c>
      <c r="J98" t="s">
        <v>23</v>
      </c>
      <c r="N98">
        <v>29489245</v>
      </c>
      <c r="O98" t="s">
        <v>141</v>
      </c>
    </row>
    <row r="99" spans="1:17" x14ac:dyDescent="0.35">
      <c r="A99" t="s">
        <v>86</v>
      </c>
      <c r="B99" t="s">
        <v>87</v>
      </c>
      <c r="C99" t="s">
        <v>88</v>
      </c>
      <c r="D99">
        <v>2019</v>
      </c>
      <c r="E99">
        <v>2019</v>
      </c>
      <c r="F99">
        <v>2019</v>
      </c>
      <c r="G99" t="s">
        <v>20</v>
      </c>
      <c r="H99" t="s">
        <v>21</v>
      </c>
      <c r="I99" t="s">
        <v>22</v>
      </c>
      <c r="J99" t="s">
        <v>23</v>
      </c>
      <c r="N99">
        <v>23376793</v>
      </c>
      <c r="O99" t="s">
        <v>142</v>
      </c>
    </row>
    <row r="100" spans="1:17" x14ac:dyDescent="0.35">
      <c r="A100" t="s">
        <v>29</v>
      </c>
      <c r="B100" t="s">
        <v>30</v>
      </c>
      <c r="C100" t="s">
        <v>31</v>
      </c>
      <c r="D100">
        <v>2010</v>
      </c>
      <c r="E100">
        <v>2010</v>
      </c>
      <c r="F100">
        <v>2010</v>
      </c>
      <c r="G100" t="s">
        <v>20</v>
      </c>
      <c r="H100" t="s">
        <v>21</v>
      </c>
      <c r="I100" t="s">
        <v>22</v>
      </c>
      <c r="J100" t="s">
        <v>23</v>
      </c>
      <c r="N100">
        <v>119.5568596</v>
      </c>
      <c r="O100" t="s">
        <v>143</v>
      </c>
      <c r="P100">
        <v>110.2447308</v>
      </c>
      <c r="Q100">
        <v>129.36651929999999</v>
      </c>
    </row>
    <row r="101" spans="1:17" x14ac:dyDescent="0.35">
      <c r="A101" t="s">
        <v>29</v>
      </c>
      <c r="B101" t="s">
        <v>30</v>
      </c>
      <c r="C101" t="s">
        <v>31</v>
      </c>
      <c r="D101">
        <v>2024</v>
      </c>
      <c r="E101">
        <v>2024</v>
      </c>
      <c r="F101">
        <v>2024</v>
      </c>
      <c r="G101" t="s">
        <v>20</v>
      </c>
      <c r="H101" t="s">
        <v>21</v>
      </c>
      <c r="I101" t="s">
        <v>22</v>
      </c>
      <c r="J101" t="s">
        <v>23</v>
      </c>
      <c r="N101">
        <v>79.479721369999993</v>
      </c>
      <c r="O101" t="s">
        <v>144</v>
      </c>
      <c r="P101">
        <v>58.010068930000003</v>
      </c>
      <c r="Q101">
        <v>113.4252592</v>
      </c>
    </row>
    <row r="102" spans="1:17" x14ac:dyDescent="0.35">
      <c r="A102" t="s">
        <v>25</v>
      </c>
      <c r="B102" t="s">
        <v>26</v>
      </c>
      <c r="C102" t="s">
        <v>27</v>
      </c>
      <c r="D102">
        <v>2024</v>
      </c>
      <c r="E102">
        <v>2024</v>
      </c>
      <c r="F102">
        <v>2024</v>
      </c>
      <c r="G102" t="s">
        <v>20</v>
      </c>
      <c r="H102" t="s">
        <v>21</v>
      </c>
      <c r="I102" t="s">
        <v>22</v>
      </c>
      <c r="J102" t="s">
        <v>23</v>
      </c>
      <c r="N102">
        <v>22683496</v>
      </c>
      <c r="O102" t="s">
        <v>84</v>
      </c>
    </row>
    <row r="103" spans="1:17" x14ac:dyDescent="0.35">
      <c r="A103" t="s">
        <v>33</v>
      </c>
      <c r="B103" t="s">
        <v>34</v>
      </c>
      <c r="C103" t="s">
        <v>35</v>
      </c>
      <c r="D103">
        <v>2024</v>
      </c>
      <c r="E103">
        <v>2024</v>
      </c>
      <c r="F103">
        <v>2024</v>
      </c>
      <c r="G103" t="s">
        <v>20</v>
      </c>
      <c r="H103" t="s">
        <v>21</v>
      </c>
      <c r="I103" t="s">
        <v>22</v>
      </c>
      <c r="J103" t="s">
        <v>23</v>
      </c>
      <c r="N103">
        <v>294.25179370000001</v>
      </c>
      <c r="O103" t="s">
        <v>145</v>
      </c>
      <c r="P103">
        <v>211.02995419999999</v>
      </c>
      <c r="Q103">
        <v>397.35969619999997</v>
      </c>
    </row>
    <row r="104" spans="1:17" x14ac:dyDescent="0.35">
      <c r="A104" t="s">
        <v>62</v>
      </c>
      <c r="B104" t="s">
        <v>63</v>
      </c>
      <c r="C104" t="s">
        <v>64</v>
      </c>
      <c r="D104">
        <v>2022</v>
      </c>
      <c r="E104">
        <v>2022</v>
      </c>
      <c r="F104">
        <v>2022</v>
      </c>
      <c r="G104" t="s">
        <v>20</v>
      </c>
      <c r="H104" t="s">
        <v>21</v>
      </c>
      <c r="I104" t="s">
        <v>22</v>
      </c>
      <c r="J104" t="s">
        <v>23</v>
      </c>
      <c r="N104">
        <v>23050405</v>
      </c>
      <c r="O104" t="s">
        <v>113</v>
      </c>
    </row>
    <row r="105" spans="1:17" x14ac:dyDescent="0.35">
      <c r="A105" t="s">
        <v>17</v>
      </c>
      <c r="B105" t="s">
        <v>18</v>
      </c>
      <c r="C105" t="s">
        <v>19</v>
      </c>
      <c r="D105">
        <v>2022</v>
      </c>
      <c r="E105">
        <v>2022</v>
      </c>
      <c r="F105">
        <v>2022</v>
      </c>
      <c r="G105" t="s">
        <v>20</v>
      </c>
      <c r="H105" t="s">
        <v>21</v>
      </c>
      <c r="I105" t="s">
        <v>22</v>
      </c>
      <c r="J105" t="s">
        <v>23</v>
      </c>
      <c r="N105">
        <v>1918061</v>
      </c>
      <c r="O105" t="s">
        <v>146</v>
      </c>
    </row>
    <row r="106" spans="1:17" x14ac:dyDescent="0.35">
      <c r="A106" t="s">
        <v>75</v>
      </c>
      <c r="B106" t="s">
        <v>76</v>
      </c>
      <c r="C106" t="s">
        <v>77</v>
      </c>
      <c r="D106">
        <v>2018</v>
      </c>
      <c r="E106">
        <v>2018</v>
      </c>
      <c r="F106">
        <v>2018</v>
      </c>
      <c r="G106" t="s">
        <v>20</v>
      </c>
      <c r="H106" t="s">
        <v>21</v>
      </c>
      <c r="I106" t="s">
        <v>22</v>
      </c>
      <c r="J106" t="s">
        <v>23</v>
      </c>
      <c r="N106">
        <v>1428731</v>
      </c>
      <c r="O106" t="s">
        <v>147</v>
      </c>
    </row>
    <row r="107" spans="1:17" x14ac:dyDescent="0.35">
      <c r="A107" t="s">
        <v>44</v>
      </c>
      <c r="B107" t="s">
        <v>45</v>
      </c>
      <c r="C107" t="s">
        <v>46</v>
      </c>
      <c r="D107">
        <v>2020</v>
      </c>
      <c r="E107">
        <v>2020</v>
      </c>
      <c r="F107">
        <v>2020</v>
      </c>
      <c r="G107" t="s">
        <v>20</v>
      </c>
      <c r="H107" t="s">
        <v>21</v>
      </c>
      <c r="I107" t="s">
        <v>22</v>
      </c>
      <c r="J107" t="s">
        <v>23</v>
      </c>
      <c r="N107">
        <v>27370935</v>
      </c>
      <c r="O107" t="s">
        <v>148</v>
      </c>
    </row>
    <row r="108" spans="1:17" x14ac:dyDescent="0.35">
      <c r="A108" t="s">
        <v>29</v>
      </c>
      <c r="B108" t="s">
        <v>30</v>
      </c>
      <c r="C108" t="s">
        <v>31</v>
      </c>
      <c r="D108">
        <v>2012</v>
      </c>
      <c r="E108">
        <v>2012</v>
      </c>
      <c r="F108">
        <v>2012</v>
      </c>
      <c r="G108" t="s">
        <v>20</v>
      </c>
      <c r="H108" t="s">
        <v>21</v>
      </c>
      <c r="I108" t="s">
        <v>22</v>
      </c>
      <c r="J108" t="s">
        <v>23</v>
      </c>
      <c r="N108">
        <v>97.622809779999997</v>
      </c>
      <c r="O108" t="s">
        <v>149</v>
      </c>
      <c r="P108">
        <v>88.708993449999994</v>
      </c>
      <c r="Q108">
        <v>107.7306627</v>
      </c>
    </row>
    <row r="109" spans="1:17" x14ac:dyDescent="0.35">
      <c r="A109" t="s">
        <v>75</v>
      </c>
      <c r="B109" t="s">
        <v>76</v>
      </c>
      <c r="C109" t="s">
        <v>77</v>
      </c>
      <c r="D109">
        <v>2024</v>
      </c>
      <c r="E109">
        <v>2024</v>
      </c>
      <c r="F109">
        <v>2024</v>
      </c>
      <c r="G109" t="s">
        <v>20</v>
      </c>
      <c r="H109" t="s">
        <v>21</v>
      </c>
      <c r="I109" t="s">
        <v>22</v>
      </c>
      <c r="J109" t="s">
        <v>23</v>
      </c>
      <c r="N109">
        <v>2893563</v>
      </c>
      <c r="O109" t="s">
        <v>150</v>
      </c>
    </row>
    <row r="110" spans="1:17" x14ac:dyDescent="0.35">
      <c r="A110" t="s">
        <v>44</v>
      </c>
      <c r="B110" t="s">
        <v>45</v>
      </c>
      <c r="C110" t="s">
        <v>46</v>
      </c>
      <c r="D110">
        <v>2023</v>
      </c>
      <c r="E110">
        <v>2023</v>
      </c>
      <c r="F110">
        <v>2023</v>
      </c>
      <c r="G110" t="s">
        <v>20</v>
      </c>
      <c r="H110" t="s">
        <v>21</v>
      </c>
      <c r="I110" t="s">
        <v>22</v>
      </c>
      <c r="J110" t="s">
        <v>23</v>
      </c>
      <c r="N110">
        <v>35179110</v>
      </c>
      <c r="O110" t="s">
        <v>151</v>
      </c>
    </row>
    <row r="111" spans="1:17" x14ac:dyDescent="0.35">
      <c r="A111" t="s">
        <v>75</v>
      </c>
      <c r="B111" t="s">
        <v>76</v>
      </c>
      <c r="C111" t="s">
        <v>77</v>
      </c>
      <c r="D111">
        <v>2020</v>
      </c>
      <c r="E111">
        <v>2020</v>
      </c>
      <c r="F111">
        <v>2020</v>
      </c>
      <c r="G111" t="s">
        <v>20</v>
      </c>
      <c r="H111" t="s">
        <v>21</v>
      </c>
      <c r="I111" t="s">
        <v>22</v>
      </c>
      <c r="J111" t="s">
        <v>23</v>
      </c>
      <c r="N111">
        <v>3086039</v>
      </c>
      <c r="O111" t="s">
        <v>152</v>
      </c>
    </row>
    <row r="112" spans="1:17" x14ac:dyDescent="0.35">
      <c r="A112" t="s">
        <v>29</v>
      </c>
      <c r="B112" t="s">
        <v>30</v>
      </c>
      <c r="C112" t="s">
        <v>31</v>
      </c>
      <c r="D112">
        <v>2021</v>
      </c>
      <c r="E112">
        <v>2021</v>
      </c>
      <c r="F112">
        <v>2021</v>
      </c>
      <c r="G112" t="s">
        <v>20</v>
      </c>
      <c r="H112" t="s">
        <v>21</v>
      </c>
      <c r="I112" t="s">
        <v>22</v>
      </c>
      <c r="J112" t="s">
        <v>23</v>
      </c>
      <c r="N112">
        <v>87.293105420000003</v>
      </c>
      <c r="O112" t="s">
        <v>153</v>
      </c>
      <c r="P112">
        <v>67.023968589999996</v>
      </c>
      <c r="Q112">
        <v>118.0905908</v>
      </c>
    </row>
    <row r="113" spans="1:17" x14ac:dyDescent="0.35">
      <c r="A113" t="s">
        <v>29</v>
      </c>
      <c r="B113" t="s">
        <v>30</v>
      </c>
      <c r="C113" t="s">
        <v>31</v>
      </c>
      <c r="D113">
        <v>2006</v>
      </c>
      <c r="E113">
        <v>2006</v>
      </c>
      <c r="F113">
        <v>2006</v>
      </c>
      <c r="G113" t="s">
        <v>20</v>
      </c>
      <c r="H113" t="s">
        <v>21</v>
      </c>
      <c r="I113" t="s">
        <v>22</v>
      </c>
      <c r="J113" t="s">
        <v>23</v>
      </c>
      <c r="N113">
        <v>159.71442149999999</v>
      </c>
      <c r="O113" t="s">
        <v>154</v>
      </c>
      <c r="P113">
        <v>149.50495530000001</v>
      </c>
      <c r="Q113">
        <v>170.31630150000001</v>
      </c>
    </row>
    <row r="114" spans="1:17" x14ac:dyDescent="0.35">
      <c r="A114" t="s">
        <v>29</v>
      </c>
      <c r="B114" t="s">
        <v>30</v>
      </c>
      <c r="C114" t="s">
        <v>31</v>
      </c>
      <c r="D114">
        <v>2013</v>
      </c>
      <c r="E114">
        <v>2013</v>
      </c>
      <c r="F114">
        <v>2013</v>
      </c>
      <c r="G114" t="s">
        <v>20</v>
      </c>
      <c r="H114" t="s">
        <v>21</v>
      </c>
      <c r="I114" t="s">
        <v>22</v>
      </c>
      <c r="J114" t="s">
        <v>23</v>
      </c>
      <c r="N114">
        <v>90.509530040000001</v>
      </c>
      <c r="O114" t="s">
        <v>155</v>
      </c>
      <c r="P114">
        <v>81.527439439999995</v>
      </c>
      <c r="Q114">
        <v>101.0994549</v>
      </c>
    </row>
    <row r="115" spans="1:17" x14ac:dyDescent="0.35">
      <c r="A115" t="s">
        <v>29</v>
      </c>
      <c r="B115" t="s">
        <v>30</v>
      </c>
      <c r="C115" t="s">
        <v>31</v>
      </c>
      <c r="D115">
        <v>2004</v>
      </c>
      <c r="E115">
        <v>2004</v>
      </c>
      <c r="F115">
        <v>2004</v>
      </c>
      <c r="G115" t="s">
        <v>20</v>
      </c>
      <c r="H115" t="s">
        <v>21</v>
      </c>
      <c r="I115" t="s">
        <v>22</v>
      </c>
      <c r="J115" t="s">
        <v>23</v>
      </c>
      <c r="N115">
        <v>160.45210650000001</v>
      </c>
      <c r="O115" t="s">
        <v>156</v>
      </c>
      <c r="P115">
        <v>150.76515670000001</v>
      </c>
      <c r="Q115">
        <v>170.58488639999999</v>
      </c>
    </row>
    <row r="116" spans="1:17" x14ac:dyDescent="0.35">
      <c r="A116" t="s">
        <v>62</v>
      </c>
      <c r="B116" t="s">
        <v>63</v>
      </c>
      <c r="C116" t="s">
        <v>64</v>
      </c>
      <c r="D116">
        <v>2020</v>
      </c>
      <c r="E116">
        <v>2020</v>
      </c>
      <c r="F116">
        <v>2020</v>
      </c>
      <c r="G116" t="s">
        <v>20</v>
      </c>
      <c r="H116" t="s">
        <v>21</v>
      </c>
      <c r="I116" t="s">
        <v>22</v>
      </c>
      <c r="J116" t="s">
        <v>23</v>
      </c>
      <c r="N116">
        <v>18325240</v>
      </c>
      <c r="O116" t="s">
        <v>101</v>
      </c>
    </row>
    <row r="117" spans="1:17" x14ac:dyDescent="0.35">
      <c r="A117" t="s">
        <v>33</v>
      </c>
      <c r="B117" t="s">
        <v>34</v>
      </c>
      <c r="C117" t="s">
        <v>35</v>
      </c>
      <c r="D117">
        <v>2007</v>
      </c>
      <c r="E117">
        <v>2007</v>
      </c>
      <c r="F117">
        <v>2007</v>
      </c>
      <c r="G117" t="s">
        <v>20</v>
      </c>
      <c r="H117" t="s">
        <v>21</v>
      </c>
      <c r="I117" t="s">
        <v>22</v>
      </c>
      <c r="J117" t="s">
        <v>23</v>
      </c>
      <c r="N117">
        <v>400.6095535</v>
      </c>
      <c r="O117" t="s">
        <v>157</v>
      </c>
      <c r="P117">
        <v>324.02819920000002</v>
      </c>
      <c r="Q117">
        <v>489.81634259999998</v>
      </c>
    </row>
    <row r="118" spans="1:17" x14ac:dyDescent="0.35">
      <c r="A118" t="s">
        <v>29</v>
      </c>
      <c r="B118" t="s">
        <v>30</v>
      </c>
      <c r="C118" t="s">
        <v>31</v>
      </c>
      <c r="D118">
        <v>2014</v>
      </c>
      <c r="E118">
        <v>2014</v>
      </c>
      <c r="F118">
        <v>2014</v>
      </c>
      <c r="G118" t="s">
        <v>20</v>
      </c>
      <c r="H118" t="s">
        <v>21</v>
      </c>
      <c r="I118" t="s">
        <v>22</v>
      </c>
      <c r="J118" t="s">
        <v>23</v>
      </c>
      <c r="N118">
        <v>89.235477630000005</v>
      </c>
      <c r="O118" t="s">
        <v>158</v>
      </c>
      <c r="P118">
        <v>79.460570930000003</v>
      </c>
      <c r="Q118">
        <v>101.3276767</v>
      </c>
    </row>
    <row r="119" spans="1:17" x14ac:dyDescent="0.35">
      <c r="A119" t="s">
        <v>86</v>
      </c>
      <c r="B119" t="s">
        <v>87</v>
      </c>
      <c r="C119" t="s">
        <v>88</v>
      </c>
      <c r="D119">
        <v>2020</v>
      </c>
      <c r="E119">
        <v>2020</v>
      </c>
      <c r="F119">
        <v>2020</v>
      </c>
      <c r="G119" t="s">
        <v>20</v>
      </c>
      <c r="H119" t="s">
        <v>21</v>
      </c>
      <c r="I119" t="s">
        <v>22</v>
      </c>
      <c r="J119" t="s">
        <v>23</v>
      </c>
      <c r="N119">
        <v>21580055</v>
      </c>
      <c r="O119" t="s">
        <v>159</v>
      </c>
    </row>
    <row r="120" spans="1:17" x14ac:dyDescent="0.35">
      <c r="A120" t="s">
        <v>75</v>
      </c>
      <c r="B120" t="s">
        <v>76</v>
      </c>
      <c r="C120" t="s">
        <v>77</v>
      </c>
      <c r="D120">
        <v>2017</v>
      </c>
      <c r="E120">
        <v>2017</v>
      </c>
      <c r="F120">
        <v>2017</v>
      </c>
      <c r="G120" t="s">
        <v>20</v>
      </c>
      <c r="H120" t="s">
        <v>21</v>
      </c>
      <c r="I120" t="s">
        <v>22</v>
      </c>
      <c r="J120" t="s">
        <v>23</v>
      </c>
      <c r="N120">
        <v>1055444</v>
      </c>
      <c r="O120" t="s">
        <v>160</v>
      </c>
    </row>
    <row r="121" spans="1:17" x14ac:dyDescent="0.35">
      <c r="A121" t="s">
        <v>29</v>
      </c>
      <c r="B121" t="s">
        <v>30</v>
      </c>
      <c r="C121" t="s">
        <v>31</v>
      </c>
      <c r="D121">
        <v>2017</v>
      </c>
      <c r="E121">
        <v>2017</v>
      </c>
      <c r="F121">
        <v>2017</v>
      </c>
      <c r="G121" t="s">
        <v>20</v>
      </c>
      <c r="H121" t="s">
        <v>21</v>
      </c>
      <c r="I121" t="s">
        <v>22</v>
      </c>
      <c r="J121" t="s">
        <v>23</v>
      </c>
      <c r="N121">
        <v>88.475380569999999</v>
      </c>
      <c r="O121" t="s">
        <v>161</v>
      </c>
      <c r="P121">
        <v>74.685833149999993</v>
      </c>
      <c r="Q121">
        <v>107.0977513</v>
      </c>
    </row>
    <row r="122" spans="1:17" x14ac:dyDescent="0.35">
      <c r="A122" t="s">
        <v>25</v>
      </c>
      <c r="B122" t="s">
        <v>26</v>
      </c>
      <c r="C122" t="s">
        <v>27</v>
      </c>
      <c r="D122">
        <v>2020</v>
      </c>
      <c r="E122">
        <v>2020</v>
      </c>
      <c r="F122">
        <v>2020</v>
      </c>
      <c r="G122" t="s">
        <v>20</v>
      </c>
      <c r="H122" t="s">
        <v>21</v>
      </c>
      <c r="I122" t="s">
        <v>22</v>
      </c>
      <c r="J122" t="s">
        <v>23</v>
      </c>
      <c r="N122">
        <v>18325240</v>
      </c>
      <c r="O122" t="s">
        <v>101</v>
      </c>
    </row>
    <row r="123" spans="1:17" x14ac:dyDescent="0.35">
      <c r="A123" t="s">
        <v>25</v>
      </c>
      <c r="B123" t="s">
        <v>26</v>
      </c>
      <c r="C123" t="s">
        <v>27</v>
      </c>
      <c r="D123">
        <v>2022</v>
      </c>
      <c r="E123">
        <v>2022</v>
      </c>
      <c r="F123">
        <v>2022</v>
      </c>
      <c r="G123" t="s">
        <v>20</v>
      </c>
      <c r="H123" t="s">
        <v>21</v>
      </c>
      <c r="I123" t="s">
        <v>22</v>
      </c>
      <c r="J123" t="s">
        <v>23</v>
      </c>
      <c r="N123">
        <v>23050405</v>
      </c>
      <c r="O123" t="s">
        <v>113</v>
      </c>
    </row>
    <row r="124" spans="1:17" x14ac:dyDescent="0.35">
      <c r="A124" t="s">
        <v>37</v>
      </c>
      <c r="B124" t="s">
        <v>38</v>
      </c>
      <c r="C124" t="s">
        <v>39</v>
      </c>
      <c r="D124">
        <v>2015</v>
      </c>
      <c r="E124">
        <v>2015</v>
      </c>
      <c r="F124">
        <v>2015</v>
      </c>
      <c r="G124" t="s">
        <v>20</v>
      </c>
      <c r="H124" t="s">
        <v>21</v>
      </c>
      <c r="I124" t="s">
        <v>22</v>
      </c>
      <c r="J124" t="s">
        <v>23</v>
      </c>
      <c r="N124">
        <v>7511712</v>
      </c>
      <c r="O124" t="s">
        <v>162</v>
      </c>
    </row>
    <row r="125" spans="1:17" x14ac:dyDescent="0.35">
      <c r="A125" t="s">
        <v>48</v>
      </c>
      <c r="B125" t="s">
        <v>49</v>
      </c>
      <c r="C125" t="s">
        <v>50</v>
      </c>
      <c r="D125">
        <v>2016</v>
      </c>
      <c r="E125">
        <v>2016</v>
      </c>
      <c r="F125">
        <v>2016</v>
      </c>
      <c r="G125" t="s">
        <v>20</v>
      </c>
      <c r="H125" t="s">
        <v>21</v>
      </c>
      <c r="I125" t="s">
        <v>22</v>
      </c>
      <c r="J125" t="s">
        <v>23</v>
      </c>
      <c r="N125">
        <v>618363</v>
      </c>
      <c r="O125" t="s">
        <v>163</v>
      </c>
    </row>
    <row r="126" spans="1:17" x14ac:dyDescent="0.35">
      <c r="A126" t="s">
        <v>48</v>
      </c>
      <c r="B126" t="s">
        <v>49</v>
      </c>
      <c r="C126" t="s">
        <v>50</v>
      </c>
      <c r="D126">
        <v>2018</v>
      </c>
      <c r="E126">
        <v>2018</v>
      </c>
      <c r="F126">
        <v>2018</v>
      </c>
      <c r="G126" t="s">
        <v>20</v>
      </c>
      <c r="H126" t="s">
        <v>21</v>
      </c>
      <c r="I126" t="s">
        <v>22</v>
      </c>
      <c r="J126" t="s">
        <v>23</v>
      </c>
      <c r="N126">
        <v>1023273</v>
      </c>
      <c r="O126" t="s">
        <v>164</v>
      </c>
    </row>
    <row r="127" spans="1:17" x14ac:dyDescent="0.35">
      <c r="A127" t="s">
        <v>37</v>
      </c>
      <c r="B127" t="s">
        <v>38</v>
      </c>
      <c r="C127" t="s">
        <v>39</v>
      </c>
      <c r="D127">
        <v>2017</v>
      </c>
      <c r="E127">
        <v>2017</v>
      </c>
      <c r="F127">
        <v>2017</v>
      </c>
      <c r="G127" t="s">
        <v>20</v>
      </c>
      <c r="H127" t="s">
        <v>21</v>
      </c>
      <c r="I127" t="s">
        <v>22</v>
      </c>
      <c r="J127" t="s">
        <v>23</v>
      </c>
      <c r="N127">
        <v>12338760</v>
      </c>
      <c r="O127" t="s">
        <v>165</v>
      </c>
    </row>
    <row r="128" spans="1:17" x14ac:dyDescent="0.35">
      <c r="A128" t="s">
        <v>68</v>
      </c>
      <c r="B128" t="s">
        <v>69</v>
      </c>
      <c r="C128" t="s">
        <v>70</v>
      </c>
      <c r="D128">
        <v>2018</v>
      </c>
      <c r="E128">
        <v>2018</v>
      </c>
      <c r="F128">
        <v>2018</v>
      </c>
      <c r="G128" t="s">
        <v>20</v>
      </c>
      <c r="H128" t="s">
        <v>21</v>
      </c>
      <c r="I128" t="s">
        <v>22</v>
      </c>
      <c r="J128" t="s">
        <v>23</v>
      </c>
      <c r="N128">
        <v>14548024</v>
      </c>
      <c r="O128" t="s">
        <v>28</v>
      </c>
    </row>
    <row r="129" spans="1:17" x14ac:dyDescent="0.35">
      <c r="A129" t="s">
        <v>37</v>
      </c>
      <c r="B129" t="s">
        <v>38</v>
      </c>
      <c r="C129" t="s">
        <v>39</v>
      </c>
      <c r="D129">
        <v>2019</v>
      </c>
      <c r="E129">
        <v>2019</v>
      </c>
      <c r="F129">
        <v>2019</v>
      </c>
      <c r="G129" t="s">
        <v>20</v>
      </c>
      <c r="H129" t="s">
        <v>21</v>
      </c>
      <c r="I129" t="s">
        <v>22</v>
      </c>
      <c r="J129" t="s">
        <v>23</v>
      </c>
      <c r="N129">
        <v>17330401</v>
      </c>
      <c r="O129" t="s">
        <v>166</v>
      </c>
    </row>
    <row r="130" spans="1:17" x14ac:dyDescent="0.35">
      <c r="A130" t="s">
        <v>29</v>
      </c>
      <c r="B130" t="s">
        <v>30</v>
      </c>
      <c r="C130" t="s">
        <v>31</v>
      </c>
      <c r="D130">
        <v>2020</v>
      </c>
      <c r="E130">
        <v>2020</v>
      </c>
      <c r="F130">
        <v>2020</v>
      </c>
      <c r="G130" t="s">
        <v>20</v>
      </c>
      <c r="H130" t="s">
        <v>21</v>
      </c>
      <c r="I130" t="s">
        <v>22</v>
      </c>
      <c r="J130" t="s">
        <v>23</v>
      </c>
      <c r="N130">
        <v>93.579707389999996</v>
      </c>
      <c r="O130" t="s">
        <v>167</v>
      </c>
      <c r="P130">
        <v>71.896902220000001</v>
      </c>
      <c r="Q130">
        <v>125.6541349</v>
      </c>
    </row>
    <row r="131" spans="1:17" x14ac:dyDescent="0.35">
      <c r="A131" t="s">
        <v>33</v>
      </c>
      <c r="B131" t="s">
        <v>34</v>
      </c>
      <c r="C131" t="s">
        <v>35</v>
      </c>
      <c r="D131">
        <v>2005</v>
      </c>
      <c r="E131">
        <v>2005</v>
      </c>
      <c r="F131">
        <v>2005</v>
      </c>
      <c r="G131" t="s">
        <v>20</v>
      </c>
      <c r="H131" t="s">
        <v>21</v>
      </c>
      <c r="I131" t="s">
        <v>22</v>
      </c>
      <c r="J131" t="s">
        <v>23</v>
      </c>
      <c r="N131">
        <v>395.89714199999997</v>
      </c>
      <c r="O131" t="s">
        <v>168</v>
      </c>
      <c r="P131">
        <v>318.82262070000002</v>
      </c>
      <c r="Q131">
        <v>487.00662840000001</v>
      </c>
    </row>
    <row r="132" spans="1:17" x14ac:dyDescent="0.35">
      <c r="A132" t="s">
        <v>62</v>
      </c>
      <c r="B132" t="s">
        <v>63</v>
      </c>
      <c r="C132" t="s">
        <v>64</v>
      </c>
      <c r="D132">
        <v>2016</v>
      </c>
      <c r="E132">
        <v>2016</v>
      </c>
      <c r="F132">
        <v>2016</v>
      </c>
      <c r="G132" t="s">
        <v>20</v>
      </c>
      <c r="H132" t="s">
        <v>21</v>
      </c>
      <c r="I132" t="s">
        <v>22</v>
      </c>
      <c r="J132" t="s">
        <v>23</v>
      </c>
      <c r="N132">
        <v>13598282</v>
      </c>
      <c r="O132" t="s">
        <v>110</v>
      </c>
    </row>
    <row r="133" spans="1:17" x14ac:dyDescent="0.35">
      <c r="A133" t="s">
        <v>44</v>
      </c>
      <c r="B133" t="s">
        <v>45</v>
      </c>
      <c r="C133" t="s">
        <v>46</v>
      </c>
      <c r="D133">
        <v>2018</v>
      </c>
      <c r="E133">
        <v>2018</v>
      </c>
      <c r="F133">
        <v>2018</v>
      </c>
      <c r="G133" t="s">
        <v>20</v>
      </c>
      <c r="H133" t="s">
        <v>21</v>
      </c>
      <c r="I133" t="s">
        <v>22</v>
      </c>
      <c r="J133" t="s">
        <v>23</v>
      </c>
      <c r="N133">
        <v>25381459</v>
      </c>
      <c r="O133" t="s">
        <v>169</v>
      </c>
    </row>
    <row r="134" spans="1:17" x14ac:dyDescent="0.35">
      <c r="A134" t="s">
        <v>25</v>
      </c>
      <c r="B134" t="s">
        <v>26</v>
      </c>
      <c r="C134" t="s">
        <v>27</v>
      </c>
      <c r="D134">
        <v>2017</v>
      </c>
      <c r="E134">
        <v>2017</v>
      </c>
      <c r="F134">
        <v>2017</v>
      </c>
      <c r="G134" t="s">
        <v>20</v>
      </c>
      <c r="H134" t="s">
        <v>21</v>
      </c>
      <c r="I134" t="s">
        <v>22</v>
      </c>
      <c r="J134" t="s">
        <v>23</v>
      </c>
      <c r="N134">
        <v>13087878</v>
      </c>
      <c r="O134" t="s">
        <v>65</v>
      </c>
    </row>
    <row r="135" spans="1:17" x14ac:dyDescent="0.35">
      <c r="A135" t="s">
        <v>33</v>
      </c>
      <c r="B135" t="s">
        <v>34</v>
      </c>
      <c r="C135" t="s">
        <v>35</v>
      </c>
      <c r="D135">
        <v>2013</v>
      </c>
      <c r="E135">
        <v>2013</v>
      </c>
      <c r="F135">
        <v>2013</v>
      </c>
      <c r="G135" t="s">
        <v>20</v>
      </c>
      <c r="H135" t="s">
        <v>21</v>
      </c>
      <c r="I135" t="s">
        <v>22</v>
      </c>
      <c r="J135" t="s">
        <v>23</v>
      </c>
      <c r="N135">
        <v>297.82649479999998</v>
      </c>
      <c r="O135" t="s">
        <v>170</v>
      </c>
      <c r="P135">
        <v>239.59653180000001</v>
      </c>
      <c r="Q135">
        <v>366.28513409999999</v>
      </c>
    </row>
    <row r="136" spans="1:17" x14ac:dyDescent="0.35">
      <c r="A136" t="s">
        <v>25</v>
      </c>
      <c r="B136" t="s">
        <v>26</v>
      </c>
      <c r="C136" t="s">
        <v>27</v>
      </c>
      <c r="D136">
        <v>2021</v>
      </c>
      <c r="E136">
        <v>2021</v>
      </c>
      <c r="F136">
        <v>2021</v>
      </c>
      <c r="G136" t="s">
        <v>20</v>
      </c>
      <c r="H136" t="s">
        <v>21</v>
      </c>
      <c r="I136" t="s">
        <v>22</v>
      </c>
      <c r="J136" t="s">
        <v>23</v>
      </c>
      <c r="N136">
        <v>21325186</v>
      </c>
      <c r="O136" t="s">
        <v>120</v>
      </c>
    </row>
    <row r="137" spans="1:17" x14ac:dyDescent="0.35">
      <c r="A137" t="s">
        <v>33</v>
      </c>
      <c r="B137" t="s">
        <v>34</v>
      </c>
      <c r="C137" t="s">
        <v>35</v>
      </c>
      <c r="D137">
        <v>2001</v>
      </c>
      <c r="E137">
        <v>2001</v>
      </c>
      <c r="F137">
        <v>2001</v>
      </c>
      <c r="G137" t="s">
        <v>20</v>
      </c>
      <c r="H137" t="s">
        <v>21</v>
      </c>
      <c r="I137" t="s">
        <v>22</v>
      </c>
      <c r="J137" t="s">
        <v>23</v>
      </c>
      <c r="N137">
        <v>394.49168100000003</v>
      </c>
      <c r="O137" t="s">
        <v>171</v>
      </c>
      <c r="P137">
        <v>306.73396860000003</v>
      </c>
      <c r="Q137">
        <v>501.43092150000001</v>
      </c>
    </row>
    <row r="138" spans="1:17" x14ac:dyDescent="0.35">
      <c r="A138" t="s">
        <v>86</v>
      </c>
      <c r="B138" t="s">
        <v>87</v>
      </c>
      <c r="C138" t="s">
        <v>88</v>
      </c>
      <c r="D138">
        <v>2024</v>
      </c>
      <c r="E138">
        <v>2024</v>
      </c>
      <c r="F138">
        <v>2024</v>
      </c>
      <c r="G138" t="s">
        <v>20</v>
      </c>
      <c r="H138" t="s">
        <v>21</v>
      </c>
      <c r="I138" t="s">
        <v>22</v>
      </c>
      <c r="J138" t="s">
        <v>23</v>
      </c>
      <c r="N138">
        <v>24047693</v>
      </c>
      <c r="O138" t="s">
        <v>172</v>
      </c>
    </row>
    <row r="139" spans="1:17" x14ac:dyDescent="0.35">
      <c r="A139" t="s">
        <v>29</v>
      </c>
      <c r="B139" t="s">
        <v>30</v>
      </c>
      <c r="C139" t="s">
        <v>31</v>
      </c>
      <c r="D139">
        <v>2003</v>
      </c>
      <c r="E139">
        <v>2003</v>
      </c>
      <c r="F139">
        <v>2003</v>
      </c>
      <c r="G139" t="s">
        <v>20</v>
      </c>
      <c r="H139" t="s">
        <v>21</v>
      </c>
      <c r="I139" t="s">
        <v>22</v>
      </c>
      <c r="J139" t="s">
        <v>23</v>
      </c>
      <c r="N139">
        <v>149.9774305</v>
      </c>
      <c r="O139" t="s">
        <v>173</v>
      </c>
      <c r="P139">
        <v>141.11010859999999</v>
      </c>
      <c r="Q139">
        <v>159.1223162</v>
      </c>
    </row>
    <row r="140" spans="1:17" x14ac:dyDescent="0.35">
      <c r="A140" t="s">
        <v>62</v>
      </c>
      <c r="B140" t="s">
        <v>63</v>
      </c>
      <c r="C140" t="s">
        <v>64</v>
      </c>
      <c r="D140">
        <v>2021</v>
      </c>
      <c r="E140">
        <v>2021</v>
      </c>
      <c r="F140">
        <v>2021</v>
      </c>
      <c r="G140" t="s">
        <v>20</v>
      </c>
      <c r="H140" t="s">
        <v>21</v>
      </c>
      <c r="I140" t="s">
        <v>22</v>
      </c>
      <c r="J140" t="s">
        <v>23</v>
      </c>
      <c r="N140">
        <v>21325186</v>
      </c>
      <c r="O140" t="s">
        <v>120</v>
      </c>
    </row>
    <row r="141" spans="1:17" x14ac:dyDescent="0.35">
      <c r="A141" t="s">
        <v>86</v>
      </c>
      <c r="B141" t="s">
        <v>87</v>
      </c>
      <c r="C141" t="s">
        <v>88</v>
      </c>
      <c r="D141">
        <v>2021</v>
      </c>
      <c r="E141">
        <v>2021</v>
      </c>
      <c r="F141">
        <v>2021</v>
      </c>
      <c r="G141" t="s">
        <v>20</v>
      </c>
      <c r="H141" t="s">
        <v>21</v>
      </c>
      <c r="I141" t="s">
        <v>22</v>
      </c>
      <c r="J141" t="s">
        <v>23</v>
      </c>
      <c r="N141">
        <v>23608797</v>
      </c>
      <c r="O141" t="s"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E2D61-7B10-4A99-A072-3889E3654CBE}">
  <dimension ref="A1:G141"/>
  <sheetViews>
    <sheetView tabSelected="1" zoomScale="85" zoomScaleNormal="85" workbookViewId="0">
      <selection activeCell="B21" sqref="B21"/>
    </sheetView>
  </sheetViews>
  <sheetFormatPr defaultRowHeight="17" x14ac:dyDescent="0.4"/>
  <cols>
    <col min="1" max="1" width="28.453125" style="2" customWidth="1"/>
    <col min="2" max="2" width="63.6328125" style="2" customWidth="1"/>
    <col min="3" max="3" width="25.7265625" style="2" customWidth="1"/>
    <col min="4" max="4" width="18.7265625" style="2" customWidth="1"/>
    <col min="5" max="5" width="14.36328125" style="2" customWidth="1"/>
    <col min="6" max="6" width="20" style="2" customWidth="1"/>
    <col min="7" max="7" width="20.6328125" style="2" customWidth="1"/>
    <col min="8" max="16384" width="8.7265625" style="2"/>
  </cols>
  <sheetData>
    <row r="1" spans="1:7" s="1" customFormat="1" ht="20.5" x14ac:dyDescent="0.6">
      <c r="A1" s="1" t="s">
        <v>175</v>
      </c>
      <c r="B1" s="1" t="s">
        <v>176</v>
      </c>
      <c r="C1" s="1" t="s">
        <v>180</v>
      </c>
      <c r="D1" s="1" t="s">
        <v>177</v>
      </c>
      <c r="E1" s="1" t="s">
        <v>14</v>
      </c>
      <c r="F1" s="1" t="s">
        <v>178</v>
      </c>
      <c r="G1" s="1" t="s">
        <v>179</v>
      </c>
    </row>
    <row r="2" spans="1:7" x14ac:dyDescent="0.4">
      <c r="A2" s="2" t="s">
        <v>17</v>
      </c>
      <c r="B2" s="2" t="s">
        <v>18</v>
      </c>
      <c r="C2" s="2" t="str" cm="1">
        <f t="array" ref="C2">_xlfn.IFS(
  OR(A2="MALARIA_EST_INCIDENCE", A2="MALARIA_EST_MORTALITY"), "Estimated",
  OR(A2="MALARIA_RDT_POS", A2="MALARIA_MICR_POS", A2="MALARIA_MICR_TEST"), "Diagnostic",
  TRUE, "Reported"
)</f>
        <v>Reported</v>
      </c>
      <c r="D2" s="2">
        <v>2015</v>
      </c>
      <c r="E2" s="2">
        <v>8633678</v>
      </c>
    </row>
    <row r="3" spans="1:7" x14ac:dyDescent="0.4">
      <c r="A3" s="2" t="s">
        <v>25</v>
      </c>
      <c r="B3" s="2" t="s">
        <v>26</v>
      </c>
      <c r="C3" s="2" t="str" cm="1">
        <f t="array" ref="C3">_xlfn.IFS(
  OR(A3="MALARIA_EST_INCIDENCE", A3="MALARIA_EST_MORTALITY"), "Estimated",
  OR(A3="MALARIA_RDT_POS", A3="MALARIA_MICR_POS", A3="MALARIA_MICR_TEST"), "Diagnostic",
  TRUE, "Reported"
)</f>
        <v>Reported</v>
      </c>
      <c r="D3" s="2">
        <v>2018</v>
      </c>
      <c r="E3" s="2">
        <v>14548024</v>
      </c>
    </row>
    <row r="4" spans="1:7" x14ac:dyDescent="0.4">
      <c r="A4" s="2" t="s">
        <v>29</v>
      </c>
      <c r="B4" s="2" t="s">
        <v>30</v>
      </c>
      <c r="C4" s="2" t="str" cm="1">
        <f t="array" ref="C4">_xlfn.IFS(
  OR(A4="MALARIA_EST_INCIDENCE", A4="MALARIA_EST_MORTALITY"), "Estimated",
  OR(A4="MALARIA_RDT_POS", A4="MALARIA_MICR_POS", A4="MALARIA_MICR_TEST"), "Diagnostic",
  TRUE, "Reported"
)</f>
        <v>Estimated</v>
      </c>
      <c r="D4" s="2">
        <v>2000</v>
      </c>
      <c r="E4" s="2">
        <v>178.99156189999999</v>
      </c>
      <c r="F4" s="2">
        <v>168.9870118</v>
      </c>
      <c r="G4" s="2">
        <v>189.43604640000001</v>
      </c>
    </row>
    <row r="5" spans="1:7" x14ac:dyDescent="0.4">
      <c r="A5" s="2" t="s">
        <v>33</v>
      </c>
      <c r="B5" s="2" t="s">
        <v>34</v>
      </c>
      <c r="C5" s="2" t="str" cm="1">
        <f t="array" ref="C5">_xlfn.IFS(
  OR(A5="MALARIA_EST_INCIDENCE", A5="MALARIA_EST_MORTALITY"), "Estimated",
  OR(A5="MALARIA_RDT_POS", A5="MALARIA_MICR_POS", A5="MALARIA_MICR_TEST"), "Diagnostic",
  TRUE, "Reported"
)</f>
        <v>Estimated</v>
      </c>
      <c r="D5" s="2">
        <v>2010</v>
      </c>
      <c r="E5" s="2">
        <v>363.35818360000002</v>
      </c>
      <c r="F5" s="2">
        <v>294.23855600000002</v>
      </c>
      <c r="G5" s="2">
        <v>443.45003250000002</v>
      </c>
    </row>
    <row r="6" spans="1:7" x14ac:dyDescent="0.4">
      <c r="A6" s="2" t="s">
        <v>37</v>
      </c>
      <c r="B6" s="2" t="s">
        <v>38</v>
      </c>
      <c r="C6" s="2" t="str" cm="1">
        <f t="array" ref="C6">_xlfn.IFS(
  OR(A6="MALARIA_EST_INCIDENCE", A6="MALARIA_EST_MORTALITY"), "Estimated",
  OR(A6="MALARIA_RDT_POS", A6="MALARIA_MICR_POS", A6="MALARIA_MICR_TEST"), "Diagnostic",
  TRUE, "Reported"
)</f>
        <v>Diagnostic</v>
      </c>
      <c r="D6" s="2">
        <v>2024</v>
      </c>
      <c r="E6" s="2">
        <v>20565840</v>
      </c>
    </row>
    <row r="7" spans="1:7" x14ac:dyDescent="0.4">
      <c r="A7" s="2" t="s">
        <v>29</v>
      </c>
      <c r="B7" s="2" t="s">
        <v>30</v>
      </c>
      <c r="C7" s="2" t="str" cm="1">
        <f t="array" ref="C7">_xlfn.IFS(
  OR(A7="MALARIA_EST_INCIDENCE", A7="MALARIA_EST_MORTALITY"), "Estimated",
  OR(A7="MALARIA_RDT_POS", A7="MALARIA_MICR_POS", A7="MALARIA_MICR_TEST"), "Diagnostic",
  TRUE, "Reported"
)</f>
        <v>Estimated</v>
      </c>
      <c r="D7" s="2">
        <v>2005</v>
      </c>
      <c r="E7" s="2">
        <v>144.6751994</v>
      </c>
      <c r="F7" s="2">
        <v>135.7879638</v>
      </c>
      <c r="G7" s="2">
        <v>153.94926839999999</v>
      </c>
    </row>
    <row r="8" spans="1:7" x14ac:dyDescent="0.4">
      <c r="A8" s="2" t="s">
        <v>17</v>
      </c>
      <c r="B8" s="2" t="s">
        <v>18</v>
      </c>
      <c r="C8" s="2" t="str" cm="1">
        <f t="array" ref="C8">_xlfn.IFS(
  OR(A8="MALARIA_EST_INCIDENCE", A8="MALARIA_EST_MORTALITY"), "Estimated",
  OR(A8="MALARIA_RDT_POS", A8="MALARIA_MICR_POS", A8="MALARIA_MICR_TEST"), "Diagnostic",
  TRUE, "Reported"
)</f>
        <v>Reported</v>
      </c>
      <c r="D8" s="2">
        <v>2020</v>
      </c>
      <c r="E8" s="2">
        <v>3254815</v>
      </c>
    </row>
    <row r="9" spans="1:7" x14ac:dyDescent="0.4">
      <c r="A9" s="2" t="s">
        <v>29</v>
      </c>
      <c r="B9" s="2" t="s">
        <v>30</v>
      </c>
      <c r="C9" s="2" t="str" cm="1">
        <f t="array" ref="C9">_xlfn.IFS(
  OR(A9="MALARIA_EST_INCIDENCE", A9="MALARIA_EST_MORTALITY"), "Estimated",
  OR(A9="MALARIA_RDT_POS", A9="MALARIA_MICR_POS", A9="MALARIA_MICR_TEST"), "Diagnostic",
  TRUE, "Reported"
)</f>
        <v>Estimated</v>
      </c>
      <c r="D9" s="2">
        <v>2008</v>
      </c>
      <c r="E9" s="2">
        <v>140.17575450000001</v>
      </c>
      <c r="F9" s="2">
        <v>130.56566309999999</v>
      </c>
      <c r="G9" s="2">
        <v>150.20146829999999</v>
      </c>
    </row>
    <row r="10" spans="1:7" x14ac:dyDescent="0.4">
      <c r="A10" s="2" t="s">
        <v>44</v>
      </c>
      <c r="B10" s="2" t="s">
        <v>45</v>
      </c>
      <c r="C10" s="2" t="str" cm="1">
        <f t="array" ref="C10">_xlfn.IFS(
  OR(A10="MALARIA_EST_INCIDENCE", A10="MALARIA_EST_MORTALITY"), "Estimated",
  OR(A10="MALARIA_RDT_POS", A10="MALARIA_MICR_POS", A10="MALARIA_MICR_TEST"), "Diagnostic",
  TRUE, "Reported"
)</f>
        <v>Reported</v>
      </c>
      <c r="D10" s="2">
        <v>2021</v>
      </c>
      <c r="E10" s="2">
        <v>30202722</v>
      </c>
    </row>
    <row r="11" spans="1:7" x14ac:dyDescent="0.4">
      <c r="A11" s="2" t="s">
        <v>48</v>
      </c>
      <c r="B11" s="2" t="s">
        <v>49</v>
      </c>
      <c r="C11" s="2" t="str" cm="1">
        <f t="array" ref="C11">_xlfn.IFS(
  OR(A11="MALARIA_EST_INCIDENCE", A11="MALARIA_EST_MORTALITY"), "Estimated",
  OR(A11="MALARIA_RDT_POS", A11="MALARIA_MICR_POS", A11="MALARIA_MICR_TEST"), "Diagnostic",
  TRUE, "Reported"
)</f>
        <v>Diagnostic</v>
      </c>
      <c r="D11" s="2">
        <v>2015</v>
      </c>
      <c r="E11" s="2">
        <v>556871</v>
      </c>
    </row>
    <row r="12" spans="1:7" x14ac:dyDescent="0.4">
      <c r="A12" s="2" t="s">
        <v>33</v>
      </c>
      <c r="B12" s="2" t="s">
        <v>34</v>
      </c>
      <c r="C12" s="2" t="str" cm="1">
        <f t="array" ref="C12">_xlfn.IFS(
  OR(A12="MALARIA_EST_INCIDENCE", A12="MALARIA_EST_MORTALITY"), "Estimated",
  OR(A12="MALARIA_RDT_POS", A12="MALARIA_MICR_POS", A12="MALARIA_MICR_TEST"), "Diagnostic",
  TRUE, "Reported"
)</f>
        <v>Estimated</v>
      </c>
      <c r="D12" s="2">
        <v>2023</v>
      </c>
      <c r="E12" s="2">
        <v>298.9976001</v>
      </c>
      <c r="F12" s="2">
        <v>215.61984279999999</v>
      </c>
      <c r="G12" s="2">
        <v>406.19512950000001</v>
      </c>
    </row>
    <row r="13" spans="1:7" x14ac:dyDescent="0.4">
      <c r="A13" s="2" t="s">
        <v>29</v>
      </c>
      <c r="B13" s="2" t="s">
        <v>30</v>
      </c>
      <c r="C13" s="2" t="str" cm="1">
        <f t="array" ref="C13">_xlfn.IFS(
  OR(A13="MALARIA_EST_INCIDENCE", A13="MALARIA_EST_MORTALITY"), "Estimated",
  OR(A13="MALARIA_RDT_POS", A13="MALARIA_MICR_POS", A13="MALARIA_MICR_TEST"), "Diagnostic",
  TRUE, "Reported"
)</f>
        <v>Estimated</v>
      </c>
      <c r="D13" s="2">
        <v>2022</v>
      </c>
      <c r="E13" s="2">
        <v>84.109902399999996</v>
      </c>
      <c r="F13" s="2">
        <v>62.989115499999997</v>
      </c>
      <c r="G13" s="2">
        <v>117.06394899999999</v>
      </c>
    </row>
    <row r="14" spans="1:7" x14ac:dyDescent="0.4">
      <c r="A14" s="2" t="s">
        <v>37</v>
      </c>
      <c r="B14" s="2" t="s">
        <v>38</v>
      </c>
      <c r="C14" s="2" t="str" cm="1">
        <f t="array" ref="C14">_xlfn.IFS(
  OR(A14="MALARIA_EST_INCIDENCE", A14="MALARIA_EST_MORTALITY"), "Estimated",
  OR(A14="MALARIA_RDT_POS", A14="MALARIA_MICR_POS", A14="MALARIA_MICR_TEST"), "Diagnostic",
  TRUE, "Reported"
)</f>
        <v>Diagnostic</v>
      </c>
      <c r="D14" s="2">
        <v>2022</v>
      </c>
      <c r="E14" s="2">
        <v>20672565</v>
      </c>
    </row>
    <row r="15" spans="1:7" x14ac:dyDescent="0.4">
      <c r="A15" s="2" t="s">
        <v>17</v>
      </c>
      <c r="B15" s="2" t="s">
        <v>18</v>
      </c>
      <c r="C15" s="2" t="str" cm="1">
        <f t="array" ref="C15">_xlfn.IFS(
  OR(A15="MALARIA_EST_INCIDENCE", A15="MALARIA_EST_MORTALITY"), "Estimated",
  OR(A15="MALARIA_RDT_POS", A15="MALARIA_MICR_POS", A15="MALARIA_MICR_TEST"), "Diagnostic",
  TRUE, "Reported"
)</f>
        <v>Reported</v>
      </c>
      <c r="D15" s="2">
        <v>2016</v>
      </c>
      <c r="E15" s="2">
        <v>10358387</v>
      </c>
    </row>
    <row r="16" spans="1:7" x14ac:dyDescent="0.4">
      <c r="A16" s="2" t="s">
        <v>44</v>
      </c>
      <c r="B16" s="2" t="s">
        <v>45</v>
      </c>
      <c r="C16" s="2" t="str" cm="1">
        <f t="array" ref="C16">_xlfn.IFS(
  OR(A16="MALARIA_EST_INCIDENCE", A16="MALARIA_EST_MORTALITY"), "Estimated",
  OR(A16="MALARIA_RDT_POS", A16="MALARIA_MICR_POS", A16="MALARIA_MICR_TEST"), "Diagnostic",
  TRUE, "Reported"
)</f>
        <v>Reported</v>
      </c>
      <c r="D16" s="2">
        <v>2016</v>
      </c>
      <c r="E16" s="2">
        <v>29113322</v>
      </c>
    </row>
    <row r="17" spans="1:7" x14ac:dyDescent="0.4">
      <c r="A17" s="2" t="s">
        <v>33</v>
      </c>
      <c r="B17" s="2" t="s">
        <v>34</v>
      </c>
      <c r="C17" s="2" t="str" cm="1">
        <f t="array" ref="C17">_xlfn.IFS(
  OR(A17="MALARIA_EST_INCIDENCE", A17="MALARIA_EST_MORTALITY"), "Estimated",
  OR(A17="MALARIA_RDT_POS", A17="MALARIA_MICR_POS", A17="MALARIA_MICR_TEST"), "Diagnostic",
  TRUE, "Reported"
)</f>
        <v>Estimated</v>
      </c>
      <c r="D17" s="2">
        <v>2018</v>
      </c>
      <c r="E17" s="2">
        <v>291.07353699999999</v>
      </c>
      <c r="F17" s="2">
        <v>228.98335850000001</v>
      </c>
      <c r="G17" s="2">
        <v>367.06931659999998</v>
      </c>
    </row>
    <row r="18" spans="1:7" x14ac:dyDescent="0.4">
      <c r="A18" s="2" t="s">
        <v>29</v>
      </c>
      <c r="B18" s="2" t="s">
        <v>30</v>
      </c>
      <c r="C18" s="2" t="str" cm="1">
        <f t="array" ref="C18">_xlfn.IFS(
  OR(A18="MALARIA_EST_INCIDENCE", A18="MALARIA_EST_MORTALITY"), "Estimated",
  OR(A18="MALARIA_RDT_POS", A18="MALARIA_MICR_POS", A18="MALARIA_MICR_TEST"), "Diagnostic",
  TRUE, "Reported"
)</f>
        <v>Estimated</v>
      </c>
      <c r="D18" s="2">
        <v>2023</v>
      </c>
      <c r="E18" s="2">
        <v>81.045556090000005</v>
      </c>
      <c r="F18" s="2">
        <v>59.320685449999999</v>
      </c>
      <c r="G18" s="2">
        <v>116.0078807</v>
      </c>
    </row>
    <row r="19" spans="1:7" x14ac:dyDescent="0.4">
      <c r="A19" s="2" t="s">
        <v>48</v>
      </c>
      <c r="B19" s="2" t="s">
        <v>49</v>
      </c>
      <c r="C19" s="2" t="str" cm="1">
        <f t="array" ref="C19">_xlfn.IFS(
  OR(A19="MALARIA_EST_INCIDENCE", A19="MALARIA_EST_MORTALITY"), "Estimated",
  OR(A19="MALARIA_RDT_POS", A19="MALARIA_MICR_POS", A19="MALARIA_MICR_TEST"), "Diagnostic",
  TRUE, "Reported"
)</f>
        <v>Diagnostic</v>
      </c>
      <c r="D19" s="2">
        <v>2022</v>
      </c>
      <c r="E19" s="2">
        <v>2377840</v>
      </c>
    </row>
    <row r="20" spans="1:7" x14ac:dyDescent="0.4">
      <c r="A20" s="2" t="s">
        <v>33</v>
      </c>
      <c r="B20" s="2" t="s">
        <v>34</v>
      </c>
      <c r="C20" s="2" t="str" cm="1">
        <f t="array" ref="C20">_xlfn.IFS(
  OR(A20="MALARIA_EST_INCIDENCE", A20="MALARIA_EST_MORTALITY"), "Estimated",
  OR(A20="MALARIA_RDT_POS", A20="MALARIA_MICR_POS", A20="MALARIA_MICR_TEST"), "Diagnostic",
  TRUE, "Reported"
)</f>
        <v>Estimated</v>
      </c>
      <c r="D20" s="2">
        <v>2020</v>
      </c>
      <c r="E20" s="2">
        <v>304.36879149999999</v>
      </c>
      <c r="F20" s="2">
        <v>218.68927790000001</v>
      </c>
      <c r="G20" s="2">
        <v>414.27901509999998</v>
      </c>
    </row>
    <row r="21" spans="1:7" x14ac:dyDescent="0.4">
      <c r="A21" s="2" t="s">
        <v>29</v>
      </c>
      <c r="B21" s="2" t="s">
        <v>30</v>
      </c>
      <c r="C21" s="2" t="str" cm="1">
        <f t="array" ref="C21">_xlfn.IFS(
  OR(A21="MALARIA_EST_INCIDENCE", A21="MALARIA_EST_MORTALITY"), "Estimated",
  OR(A21="MALARIA_RDT_POS", A21="MALARIA_MICR_POS", A21="MALARIA_MICR_TEST"), "Diagnostic",
  TRUE, "Reported"
)</f>
        <v>Estimated</v>
      </c>
      <c r="D21" s="2">
        <v>2007</v>
      </c>
      <c r="E21" s="2">
        <v>151.1457819</v>
      </c>
      <c r="F21" s="2">
        <v>141.2029866</v>
      </c>
      <c r="G21" s="2">
        <v>161.51919749999999</v>
      </c>
    </row>
    <row r="22" spans="1:7" x14ac:dyDescent="0.4">
      <c r="A22" s="2" t="s">
        <v>62</v>
      </c>
      <c r="B22" s="2" t="s">
        <v>63</v>
      </c>
      <c r="C22" s="2" t="str" cm="1">
        <f t="array" ref="C22">_xlfn.IFS(
  OR(A22="MALARIA_EST_INCIDENCE", A22="MALARIA_EST_MORTALITY"), "Estimated",
  OR(A22="MALARIA_RDT_POS", A22="MALARIA_MICR_POS", A22="MALARIA_MICR_TEST"), "Diagnostic",
  TRUE, "Reported"
)</f>
        <v>Reported</v>
      </c>
      <c r="D22" s="2">
        <v>2017</v>
      </c>
      <c r="E22" s="2">
        <v>13087878</v>
      </c>
    </row>
    <row r="23" spans="1:7" x14ac:dyDescent="0.4">
      <c r="A23" s="2" t="s">
        <v>17</v>
      </c>
      <c r="B23" s="2" t="s">
        <v>18</v>
      </c>
      <c r="C23" s="2" t="str" cm="1">
        <f t="array" ref="C23">_xlfn.IFS(
  OR(A23="MALARIA_EST_INCIDENCE", A23="MALARIA_EST_MORTALITY"), "Estimated",
  OR(A23="MALARIA_RDT_POS", A23="MALARIA_MICR_POS", A23="MALARIA_MICR_TEST"), "Diagnostic",
  TRUE, "Reported"
)</f>
        <v>Reported</v>
      </c>
      <c r="D23" s="2">
        <v>2023</v>
      </c>
      <c r="E23" s="2">
        <v>2313036</v>
      </c>
    </row>
    <row r="24" spans="1:7" x14ac:dyDescent="0.4">
      <c r="A24" s="2" t="s">
        <v>44</v>
      </c>
      <c r="B24" s="2" t="s">
        <v>45</v>
      </c>
      <c r="C24" s="2" t="str" cm="1">
        <f t="array" ref="C24">_xlfn.IFS(
  OR(A24="MALARIA_EST_INCIDENCE", A24="MALARIA_EST_MORTALITY"), "Estimated",
  OR(A24="MALARIA_RDT_POS", A24="MALARIA_MICR_POS", A24="MALARIA_MICR_TEST"), "Diagnostic",
  TRUE, "Reported"
)</f>
        <v>Reported</v>
      </c>
      <c r="D24" s="2">
        <v>2022</v>
      </c>
      <c r="E24" s="2">
        <v>32983459</v>
      </c>
    </row>
    <row r="25" spans="1:7" x14ac:dyDescent="0.4">
      <c r="A25" s="2" t="s">
        <v>68</v>
      </c>
      <c r="B25" s="2" t="s">
        <v>69</v>
      </c>
      <c r="C25" s="2" t="str" cm="1">
        <f t="array" ref="C25">_xlfn.IFS(
  OR(A25="MALARIA_EST_INCIDENCE", A25="MALARIA_EST_MORTALITY"), "Estimated",
  OR(A25="MALARIA_RDT_POS", A25="MALARIA_MICR_POS", A25="MALARIA_MICR_TEST"), "Diagnostic",
  TRUE, "Reported"
)</f>
        <v>Reported</v>
      </c>
      <c r="D25" s="2">
        <v>2023</v>
      </c>
      <c r="E25" s="2">
        <v>24098323</v>
      </c>
    </row>
    <row r="26" spans="1:7" x14ac:dyDescent="0.4">
      <c r="A26" s="2" t="s">
        <v>33</v>
      </c>
      <c r="B26" s="2" t="s">
        <v>34</v>
      </c>
      <c r="C26" s="2" t="str" cm="1">
        <f t="array" ref="C26">_xlfn.IFS(
  OR(A26="MALARIA_EST_INCIDENCE", A26="MALARIA_EST_MORTALITY"), "Estimated",
  OR(A26="MALARIA_RDT_POS", A26="MALARIA_MICR_POS", A26="MALARIA_MICR_TEST"), "Diagnostic",
  TRUE, "Reported"
)</f>
        <v>Estimated</v>
      </c>
      <c r="D26" s="2">
        <v>2009</v>
      </c>
      <c r="E26" s="2">
        <v>389.96037039999999</v>
      </c>
      <c r="F26" s="2">
        <v>319.67473910000001</v>
      </c>
      <c r="G26" s="2">
        <v>471.62001670000001</v>
      </c>
    </row>
    <row r="27" spans="1:7" x14ac:dyDescent="0.4">
      <c r="A27" s="2" t="s">
        <v>62</v>
      </c>
      <c r="B27" s="2" t="s">
        <v>63</v>
      </c>
      <c r="C27" s="2" t="str" cm="1">
        <f t="array" ref="C27">_xlfn.IFS(
  OR(A27="MALARIA_EST_INCIDENCE", A27="MALARIA_EST_MORTALITY"), "Estimated",
  OR(A27="MALARIA_RDT_POS", A27="MALARIA_MICR_POS", A27="MALARIA_MICR_TEST"), "Diagnostic",
  TRUE, "Reported"
)</f>
        <v>Reported</v>
      </c>
      <c r="D27" s="2">
        <v>2023</v>
      </c>
      <c r="E27" s="2">
        <v>24098323</v>
      </c>
    </row>
    <row r="28" spans="1:7" x14ac:dyDescent="0.4">
      <c r="A28" s="2" t="s">
        <v>25</v>
      </c>
      <c r="B28" s="2" t="s">
        <v>26</v>
      </c>
      <c r="C28" s="2" t="str" cm="1">
        <f t="array" ref="C28">_xlfn.IFS(
  OR(A28="MALARIA_EST_INCIDENCE", A28="MALARIA_EST_MORTALITY"), "Estimated",
  OR(A28="MALARIA_RDT_POS", A28="MALARIA_MICR_POS", A28="MALARIA_MICR_TEST"), "Diagnostic",
  TRUE, "Reported"
)</f>
        <v>Reported</v>
      </c>
      <c r="D28" s="2">
        <v>2023</v>
      </c>
      <c r="E28" s="2">
        <v>24098323</v>
      </c>
    </row>
    <row r="29" spans="1:7" x14ac:dyDescent="0.4">
      <c r="A29" s="2" t="s">
        <v>44</v>
      </c>
      <c r="B29" s="2" t="s">
        <v>45</v>
      </c>
      <c r="C29" s="2" t="str" cm="1">
        <f t="array" ref="C29">_xlfn.IFS(
  OR(A29="MALARIA_EST_INCIDENCE", A29="MALARIA_EST_MORTALITY"), "Estimated",
  OR(A29="MALARIA_RDT_POS", A29="MALARIA_MICR_POS", A29="MALARIA_MICR_TEST"), "Diagnostic",
  TRUE, "Reported"
)</f>
        <v>Reported</v>
      </c>
      <c r="D29" s="2">
        <v>2015</v>
      </c>
      <c r="E29" s="2">
        <v>20243915</v>
      </c>
    </row>
    <row r="30" spans="1:7" x14ac:dyDescent="0.4">
      <c r="A30" s="2" t="s">
        <v>48</v>
      </c>
      <c r="B30" s="2" t="s">
        <v>49</v>
      </c>
      <c r="C30" s="2" t="str" cm="1">
        <f t="array" ref="C30">_xlfn.IFS(
  OR(A30="MALARIA_EST_INCIDENCE", A30="MALARIA_EST_MORTALITY"), "Estimated",
  OR(A30="MALARIA_RDT_POS", A30="MALARIA_MICR_POS", A30="MALARIA_MICR_TEST"), "Diagnostic",
  TRUE, "Reported"
)</f>
        <v>Diagnostic</v>
      </c>
      <c r="D30" s="2">
        <v>2024</v>
      </c>
      <c r="E30" s="2">
        <v>2117656</v>
      </c>
    </row>
    <row r="31" spans="1:7" x14ac:dyDescent="0.4">
      <c r="A31" s="2" t="s">
        <v>75</v>
      </c>
      <c r="B31" s="2" t="s">
        <v>76</v>
      </c>
      <c r="C31" s="2" t="str" cm="1">
        <f t="array" ref="C31">_xlfn.IFS(
  OR(A31="MALARIA_EST_INCIDENCE", A31="MALARIA_EST_MORTALITY"), "Estimated",
  OR(A31="MALARIA_RDT_POS", A31="MALARIA_MICR_POS", A31="MALARIA_MICR_TEST"), "Diagnostic",
  TRUE, "Reported"
)</f>
        <v>Diagnostic</v>
      </c>
      <c r="D31" s="2">
        <v>2016</v>
      </c>
      <c r="E31" s="2">
        <v>901141</v>
      </c>
    </row>
    <row r="32" spans="1:7" x14ac:dyDescent="0.4">
      <c r="A32" s="2" t="s">
        <v>33</v>
      </c>
      <c r="B32" s="2" t="s">
        <v>34</v>
      </c>
      <c r="C32" s="2" t="str" cm="1">
        <f t="array" ref="C32">_xlfn.IFS(
  OR(A32="MALARIA_EST_INCIDENCE", A32="MALARIA_EST_MORTALITY"), "Estimated",
  OR(A32="MALARIA_RDT_POS", A32="MALARIA_MICR_POS", A32="MALARIA_MICR_TEST"), "Diagnostic",
  TRUE, "Reported"
)</f>
        <v>Estimated</v>
      </c>
      <c r="D32" s="2">
        <v>2016</v>
      </c>
      <c r="E32" s="2">
        <v>284.82542030000002</v>
      </c>
      <c r="F32" s="2">
        <v>225.41075280000001</v>
      </c>
      <c r="G32" s="2">
        <v>353.73006770000001</v>
      </c>
    </row>
    <row r="33" spans="1:7" x14ac:dyDescent="0.4">
      <c r="A33" s="2" t="s">
        <v>75</v>
      </c>
      <c r="B33" s="2" t="s">
        <v>76</v>
      </c>
      <c r="C33" s="2" t="str" cm="1">
        <f t="array" ref="C33">_xlfn.IFS(
  OR(A33="MALARIA_EST_INCIDENCE", A33="MALARIA_EST_MORTALITY"), "Estimated",
  OR(A33="MALARIA_RDT_POS", A33="MALARIA_MICR_POS", A33="MALARIA_MICR_TEST"), "Diagnostic",
  TRUE, "Reported"
)</f>
        <v>Diagnostic</v>
      </c>
      <c r="D33" s="2">
        <v>2022</v>
      </c>
      <c r="E33" s="2">
        <v>3186224</v>
      </c>
    </row>
    <row r="34" spans="1:7" x14ac:dyDescent="0.4">
      <c r="A34" s="2" t="s">
        <v>33</v>
      </c>
      <c r="B34" s="2" t="s">
        <v>34</v>
      </c>
      <c r="C34" s="2" t="str" cm="1">
        <f t="array" ref="C34">_xlfn.IFS(
  OR(A34="MALARIA_EST_INCIDENCE", A34="MALARIA_EST_MORTALITY"), "Estimated",
  OR(A34="MALARIA_RDT_POS", A34="MALARIA_MICR_POS", A34="MALARIA_MICR_TEST"), "Diagnostic",
  TRUE, "Reported"
)</f>
        <v>Estimated</v>
      </c>
      <c r="D34" s="2">
        <v>2011</v>
      </c>
      <c r="E34" s="2">
        <v>339.50662749999998</v>
      </c>
      <c r="F34" s="2">
        <v>273.75947209999998</v>
      </c>
      <c r="G34" s="2">
        <v>416.1799168</v>
      </c>
    </row>
    <row r="35" spans="1:7" x14ac:dyDescent="0.4">
      <c r="A35" s="2" t="s">
        <v>44</v>
      </c>
      <c r="B35" s="2" t="s">
        <v>45</v>
      </c>
      <c r="C35" s="2" t="str" cm="1">
        <f t="array" ref="C35">_xlfn.IFS(
  OR(A35="MALARIA_EST_INCIDENCE", A35="MALARIA_EST_MORTALITY"), "Estimated",
  OR(A35="MALARIA_RDT_POS", A35="MALARIA_MICR_POS", A35="MALARIA_MICR_TEST"), "Diagnostic",
  TRUE, "Reported"
)</f>
        <v>Reported</v>
      </c>
      <c r="D35" s="2">
        <v>2017</v>
      </c>
      <c r="E35" s="2">
        <v>25106551</v>
      </c>
    </row>
    <row r="36" spans="1:7" x14ac:dyDescent="0.4">
      <c r="A36" s="2" t="s">
        <v>29</v>
      </c>
      <c r="B36" s="2" t="s">
        <v>30</v>
      </c>
      <c r="C36" s="2" t="str" cm="1">
        <f t="array" ref="C36">_xlfn.IFS(
  OR(A36="MALARIA_EST_INCIDENCE", A36="MALARIA_EST_MORTALITY"), "Estimated",
  OR(A36="MALARIA_RDT_POS", A36="MALARIA_MICR_POS", A36="MALARIA_MICR_TEST"), "Diagnostic",
  TRUE, "Reported"
)</f>
        <v>Estimated</v>
      </c>
      <c r="D36" s="2">
        <v>2002</v>
      </c>
      <c r="E36" s="2">
        <v>172.52159309999999</v>
      </c>
      <c r="F36" s="2">
        <v>162.531407</v>
      </c>
      <c r="G36" s="2">
        <v>182.91630230000001</v>
      </c>
    </row>
    <row r="37" spans="1:7" x14ac:dyDescent="0.4">
      <c r="A37" s="2" t="s">
        <v>68</v>
      </c>
      <c r="B37" s="2" t="s">
        <v>69</v>
      </c>
      <c r="C37" s="2" t="str" cm="1">
        <f t="array" ref="C37">_xlfn.IFS(
  OR(A37="MALARIA_EST_INCIDENCE", A37="MALARIA_EST_MORTALITY"), "Estimated",
  OR(A37="MALARIA_RDT_POS", A37="MALARIA_MICR_POS", A37="MALARIA_MICR_TEST"), "Diagnostic",
  TRUE, "Reported"
)</f>
        <v>Reported</v>
      </c>
      <c r="D37" s="2">
        <v>2024</v>
      </c>
      <c r="E37" s="2">
        <v>22683496</v>
      </c>
    </row>
    <row r="38" spans="1:7" x14ac:dyDescent="0.4">
      <c r="A38" s="2" t="s">
        <v>33</v>
      </c>
      <c r="B38" s="2" t="s">
        <v>34</v>
      </c>
      <c r="C38" s="2" t="str" cm="1">
        <f t="array" ref="C38">_xlfn.IFS(
  OR(A38="MALARIA_EST_INCIDENCE", A38="MALARIA_EST_MORTALITY"), "Estimated",
  OR(A38="MALARIA_RDT_POS", A38="MALARIA_MICR_POS", A38="MALARIA_MICR_TEST"), "Diagnostic",
  TRUE, "Reported"
)</f>
        <v>Estimated</v>
      </c>
      <c r="D38" s="2">
        <v>2019</v>
      </c>
      <c r="E38" s="2">
        <v>292.99995319999999</v>
      </c>
      <c r="F38" s="2">
        <v>226.4616604</v>
      </c>
      <c r="G38" s="2">
        <v>376.22314710000001</v>
      </c>
    </row>
    <row r="39" spans="1:7" x14ac:dyDescent="0.4">
      <c r="A39" s="2" t="s">
        <v>86</v>
      </c>
      <c r="B39" s="2" t="s">
        <v>87</v>
      </c>
      <c r="C39" s="2" t="str" cm="1">
        <f t="array" ref="C39">_xlfn.IFS(
  OR(A39="MALARIA_EST_INCIDENCE", A39="MALARIA_EST_MORTALITY"), "Estimated",
  OR(A39="MALARIA_RDT_POS", A39="MALARIA_MICR_POS", A39="MALARIA_MICR_TEST"), "Diagnostic",
  TRUE, "Reported"
)</f>
        <v>Reported</v>
      </c>
      <c r="D39" s="2">
        <v>2015</v>
      </c>
      <c r="E39" s="2">
        <v>16702261</v>
      </c>
    </row>
    <row r="40" spans="1:7" x14ac:dyDescent="0.4">
      <c r="A40" s="2" t="s">
        <v>29</v>
      </c>
      <c r="B40" s="2" t="s">
        <v>30</v>
      </c>
      <c r="C40" s="2" t="str" cm="1">
        <f t="array" ref="C40">_xlfn.IFS(
  OR(A40="MALARIA_EST_INCIDENCE", A40="MALARIA_EST_MORTALITY"), "Estimated",
  OR(A40="MALARIA_RDT_POS", A40="MALARIA_MICR_POS", A40="MALARIA_MICR_TEST"), "Diagnostic",
  TRUE, "Reported"
)</f>
        <v>Estimated</v>
      </c>
      <c r="D40" s="2">
        <v>2015</v>
      </c>
      <c r="E40" s="2">
        <v>88.661213059999994</v>
      </c>
      <c r="F40" s="2">
        <v>77.62335041</v>
      </c>
      <c r="G40" s="2">
        <v>102.5940621</v>
      </c>
    </row>
    <row r="41" spans="1:7" x14ac:dyDescent="0.4">
      <c r="A41" s="2" t="s">
        <v>62</v>
      </c>
      <c r="B41" s="2" t="s">
        <v>63</v>
      </c>
      <c r="C41" s="2" t="str" cm="1">
        <f t="array" ref="C41">_xlfn.IFS(
  OR(A41="MALARIA_EST_INCIDENCE", A41="MALARIA_EST_MORTALITY"), "Estimated",
  OR(A41="MALARIA_RDT_POS", A41="MALARIA_MICR_POS", A41="MALARIA_MICR_TEST"), "Diagnostic",
  TRUE, "Reported"
)</f>
        <v>Reported</v>
      </c>
      <c r="D41" s="2">
        <v>2015</v>
      </c>
      <c r="E41" s="2">
        <v>8068583</v>
      </c>
    </row>
    <row r="42" spans="1:7" x14ac:dyDescent="0.4">
      <c r="A42" s="2" t="s">
        <v>37</v>
      </c>
      <c r="B42" s="2" t="s">
        <v>38</v>
      </c>
      <c r="C42" s="2" t="str" cm="1">
        <f t="array" ref="C42">_xlfn.IFS(
  OR(A42="MALARIA_EST_INCIDENCE", A42="MALARIA_EST_MORTALITY"), "Estimated",
  OR(A42="MALARIA_RDT_POS", A42="MALARIA_MICR_POS", A42="MALARIA_MICR_TEST"), "Diagnostic",
  TRUE, "Reported"
)</f>
        <v>Diagnostic</v>
      </c>
      <c r="D42" s="2">
        <v>2023</v>
      </c>
      <c r="E42" s="2">
        <v>21649680</v>
      </c>
    </row>
    <row r="43" spans="1:7" x14ac:dyDescent="0.4">
      <c r="A43" s="2" t="s">
        <v>17</v>
      </c>
      <c r="B43" s="2" t="s">
        <v>18</v>
      </c>
      <c r="C43" s="2" t="str" cm="1">
        <f t="array" ref="C43">_xlfn.IFS(
  OR(A43="MALARIA_EST_INCIDENCE", A43="MALARIA_EST_MORTALITY"), "Estimated",
  OR(A43="MALARIA_RDT_POS", A43="MALARIA_MICR_POS", A43="MALARIA_MICR_TEST"), "Diagnostic",
  TRUE, "Reported"
)</f>
        <v>Reported</v>
      </c>
      <c r="D43" s="2">
        <v>2018</v>
      </c>
      <c r="E43" s="2">
        <v>5934356</v>
      </c>
    </row>
    <row r="44" spans="1:7" x14ac:dyDescent="0.4">
      <c r="A44" s="2" t="s">
        <v>29</v>
      </c>
      <c r="B44" s="2" t="s">
        <v>30</v>
      </c>
      <c r="C44" s="2" t="str" cm="1">
        <f t="array" ref="C44">_xlfn.IFS(
  OR(A44="MALARIA_EST_INCIDENCE", A44="MALARIA_EST_MORTALITY"), "Estimated",
  OR(A44="MALARIA_RDT_POS", A44="MALARIA_MICR_POS", A44="MALARIA_MICR_TEST"), "Diagnostic",
  TRUE, "Reported"
)</f>
        <v>Estimated</v>
      </c>
      <c r="D44" s="2">
        <v>2001</v>
      </c>
      <c r="E44" s="2">
        <v>174.3334959</v>
      </c>
      <c r="F44" s="2">
        <v>164.39603080000001</v>
      </c>
      <c r="G44" s="2">
        <v>184.6536347</v>
      </c>
    </row>
    <row r="45" spans="1:7" x14ac:dyDescent="0.4">
      <c r="A45" s="2" t="s">
        <v>17</v>
      </c>
      <c r="B45" s="2" t="s">
        <v>18</v>
      </c>
      <c r="C45" s="2" t="str" cm="1">
        <f t="array" ref="C45">_xlfn.IFS(
  OR(A45="MALARIA_EST_INCIDENCE", A45="MALARIA_EST_MORTALITY"), "Estimated",
  OR(A45="MALARIA_RDT_POS", A45="MALARIA_MICR_POS", A45="MALARIA_MICR_TEST"), "Diagnostic",
  TRUE, "Reported"
)</f>
        <v>Reported</v>
      </c>
      <c r="D45" s="2">
        <v>2017</v>
      </c>
      <c r="E45" s="2">
        <v>7131390</v>
      </c>
    </row>
    <row r="46" spans="1:7" x14ac:dyDescent="0.4">
      <c r="A46" s="2" t="s">
        <v>33</v>
      </c>
      <c r="B46" s="2" t="s">
        <v>34</v>
      </c>
      <c r="C46" s="2" t="str" cm="1">
        <f t="array" ref="C46">_xlfn.IFS(
  OR(A46="MALARIA_EST_INCIDENCE", A46="MALARIA_EST_MORTALITY"), "Estimated",
  OR(A46="MALARIA_RDT_POS", A46="MALARIA_MICR_POS", A46="MALARIA_MICR_TEST"), "Diagnostic",
  TRUE, "Reported"
)</f>
        <v>Estimated</v>
      </c>
      <c r="D46" s="2">
        <v>2006</v>
      </c>
      <c r="E46" s="2">
        <v>398.5742219</v>
      </c>
      <c r="F46" s="2">
        <v>321.3379213</v>
      </c>
      <c r="G46" s="2">
        <v>488.26784279999998</v>
      </c>
    </row>
    <row r="47" spans="1:7" x14ac:dyDescent="0.4">
      <c r="A47" s="2" t="s">
        <v>75</v>
      </c>
      <c r="B47" s="2" t="s">
        <v>76</v>
      </c>
      <c r="C47" s="2" t="str" cm="1">
        <f t="array" ref="C47">_xlfn.IFS(
  OR(A47="MALARIA_EST_INCIDENCE", A47="MALARIA_EST_MORTALITY"), "Estimated",
  OR(A47="MALARIA_RDT_POS", A47="MALARIA_MICR_POS", A47="MALARIA_MICR_TEST"), "Diagnostic",
  TRUE, "Reported"
)</f>
        <v>Diagnostic</v>
      </c>
      <c r="D47" s="2">
        <v>2021</v>
      </c>
      <c r="E47" s="2">
        <v>3405012</v>
      </c>
    </row>
    <row r="48" spans="1:7" x14ac:dyDescent="0.4">
      <c r="A48" s="2" t="s">
        <v>33</v>
      </c>
      <c r="B48" s="2" t="s">
        <v>34</v>
      </c>
      <c r="C48" s="2" t="str" cm="1">
        <f t="array" ref="C48">_xlfn.IFS(
  OR(A48="MALARIA_EST_INCIDENCE", A48="MALARIA_EST_MORTALITY"), "Estimated",
  OR(A48="MALARIA_RDT_POS", A48="MALARIA_MICR_POS", A48="MALARIA_MICR_TEST"), "Diagnostic",
  TRUE, "Reported"
)</f>
        <v>Estimated</v>
      </c>
      <c r="D48" s="2">
        <v>2003</v>
      </c>
      <c r="E48" s="2">
        <v>382.08798660000002</v>
      </c>
      <c r="F48" s="2">
        <v>298.42326159999999</v>
      </c>
      <c r="G48" s="2">
        <v>484.06887280000001</v>
      </c>
    </row>
    <row r="49" spans="1:7" x14ac:dyDescent="0.4">
      <c r="A49" s="2" t="s">
        <v>29</v>
      </c>
      <c r="B49" s="2" t="s">
        <v>30</v>
      </c>
      <c r="C49" s="2" t="str" cm="1">
        <f t="array" ref="C49">_xlfn.IFS(
  OR(A49="MALARIA_EST_INCIDENCE", A49="MALARIA_EST_MORTALITY"), "Estimated",
  OR(A49="MALARIA_RDT_POS", A49="MALARIA_MICR_POS", A49="MALARIA_MICR_TEST"), "Diagnostic",
  TRUE, "Reported"
)</f>
        <v>Estimated</v>
      </c>
      <c r="D49" s="2">
        <v>2009</v>
      </c>
      <c r="E49" s="2">
        <v>134.8335222</v>
      </c>
      <c r="F49" s="2">
        <v>125.0315614</v>
      </c>
      <c r="G49" s="2">
        <v>145.19710169999999</v>
      </c>
    </row>
    <row r="50" spans="1:7" x14ac:dyDescent="0.4">
      <c r="A50" s="2" t="s">
        <v>33</v>
      </c>
      <c r="B50" s="2" t="s">
        <v>34</v>
      </c>
      <c r="C50" s="2" t="str" cm="1">
        <f t="array" ref="C50">_xlfn.IFS(
  OR(A50="MALARIA_EST_INCIDENCE", A50="MALARIA_EST_MORTALITY"), "Estimated",
  OR(A50="MALARIA_RDT_POS", A50="MALARIA_MICR_POS", A50="MALARIA_MICR_TEST"), "Diagnostic",
  TRUE, "Reported"
)</f>
        <v>Estimated</v>
      </c>
      <c r="D50" s="2">
        <v>2004</v>
      </c>
      <c r="E50" s="2">
        <v>390.1169701</v>
      </c>
      <c r="F50" s="2">
        <v>309.7066385</v>
      </c>
      <c r="G50" s="2">
        <v>483.19671890000001</v>
      </c>
    </row>
    <row r="51" spans="1:7" x14ac:dyDescent="0.4">
      <c r="A51" s="2" t="s">
        <v>68</v>
      </c>
      <c r="B51" s="2" t="s">
        <v>69</v>
      </c>
      <c r="C51" s="2" t="str" cm="1">
        <f t="array" ref="C51">_xlfn.IFS(
  OR(A51="MALARIA_EST_INCIDENCE", A51="MALARIA_EST_MORTALITY"), "Estimated",
  OR(A51="MALARIA_RDT_POS", A51="MALARIA_MICR_POS", A51="MALARIA_MICR_TEST"), "Diagnostic",
  TRUE, "Reported"
)</f>
        <v>Reported</v>
      </c>
      <c r="D51" s="2">
        <v>2020</v>
      </c>
      <c r="E51" s="2">
        <v>18325240</v>
      </c>
    </row>
    <row r="52" spans="1:7" x14ac:dyDescent="0.4">
      <c r="A52" s="2" t="s">
        <v>62</v>
      </c>
      <c r="B52" s="2" t="s">
        <v>63</v>
      </c>
      <c r="C52" s="2" t="str" cm="1">
        <f t="array" ref="C52">_xlfn.IFS(
  OR(A52="MALARIA_EST_INCIDENCE", A52="MALARIA_EST_MORTALITY"), "Estimated",
  OR(A52="MALARIA_RDT_POS", A52="MALARIA_MICR_POS", A52="MALARIA_MICR_TEST"), "Diagnostic",
  TRUE, "Reported"
)</f>
        <v>Reported</v>
      </c>
      <c r="D52" s="2">
        <v>2024</v>
      </c>
      <c r="E52" s="2">
        <v>22208760</v>
      </c>
    </row>
    <row r="53" spans="1:7" x14ac:dyDescent="0.4">
      <c r="A53" s="2" t="s">
        <v>33</v>
      </c>
      <c r="B53" s="2" t="s">
        <v>34</v>
      </c>
      <c r="C53" s="2" t="str" cm="1">
        <f t="array" ref="C53">_xlfn.IFS(
  OR(A53="MALARIA_EST_INCIDENCE", A53="MALARIA_EST_MORTALITY"), "Estimated",
  OR(A53="MALARIA_RDT_POS", A53="MALARIA_MICR_POS", A53="MALARIA_MICR_TEST"), "Diagnostic",
  TRUE, "Reported"
)</f>
        <v>Estimated</v>
      </c>
      <c r="D53" s="2">
        <v>2017</v>
      </c>
      <c r="E53" s="2">
        <v>288.9798255</v>
      </c>
      <c r="F53" s="2">
        <v>229.07687179999999</v>
      </c>
      <c r="G53" s="2">
        <v>359.80387189999999</v>
      </c>
    </row>
    <row r="54" spans="1:7" x14ac:dyDescent="0.4">
      <c r="A54" s="2" t="s">
        <v>25</v>
      </c>
      <c r="B54" s="2" t="s">
        <v>26</v>
      </c>
      <c r="C54" s="2" t="str" cm="1">
        <f t="array" ref="C54">_xlfn.IFS(
  OR(A54="MALARIA_EST_INCIDENCE", A54="MALARIA_EST_MORTALITY"), "Estimated",
  OR(A54="MALARIA_RDT_POS", A54="MALARIA_MICR_POS", A54="MALARIA_MICR_TEST"), "Diagnostic",
  TRUE, "Reported"
)</f>
        <v>Reported</v>
      </c>
      <c r="D54" s="2">
        <v>2015</v>
      </c>
      <c r="E54" s="2">
        <v>8068583</v>
      </c>
    </row>
    <row r="55" spans="1:7" x14ac:dyDescent="0.4">
      <c r="A55" s="2" t="s">
        <v>62</v>
      </c>
      <c r="B55" s="2" t="s">
        <v>63</v>
      </c>
      <c r="C55" s="2" t="str" cm="1">
        <f t="array" ref="C55">_xlfn.IFS(
  OR(A55="MALARIA_EST_INCIDENCE", A55="MALARIA_EST_MORTALITY"), "Estimated",
  OR(A55="MALARIA_RDT_POS", A55="MALARIA_MICR_POS", A55="MALARIA_MICR_TEST"), "Diagnostic",
  TRUE, "Reported"
)</f>
        <v>Reported</v>
      </c>
      <c r="D55" s="2">
        <v>2018</v>
      </c>
      <c r="E55" s="2">
        <v>14548024</v>
      </c>
    </row>
    <row r="56" spans="1:7" x14ac:dyDescent="0.4">
      <c r="A56" s="2" t="s">
        <v>68</v>
      </c>
      <c r="B56" s="2" t="s">
        <v>69</v>
      </c>
      <c r="C56" s="2" t="str" cm="1">
        <f t="array" ref="C56">_xlfn.IFS(
  OR(A56="MALARIA_EST_INCIDENCE", A56="MALARIA_EST_MORTALITY"), "Estimated",
  OR(A56="MALARIA_RDT_POS", A56="MALARIA_MICR_POS", A56="MALARIA_MICR_TEST"), "Diagnostic",
  TRUE, "Reported"
)</f>
        <v>Reported</v>
      </c>
      <c r="D56" s="2">
        <v>2019</v>
      </c>
      <c r="E56" s="2">
        <v>19806915</v>
      </c>
    </row>
    <row r="57" spans="1:7" x14ac:dyDescent="0.4">
      <c r="A57" s="2" t="s">
        <v>75</v>
      </c>
      <c r="B57" s="2" t="s">
        <v>76</v>
      </c>
      <c r="C57" s="2" t="str" cm="1">
        <f t="array" ref="C57">_xlfn.IFS(
  OR(A57="MALARIA_EST_INCIDENCE", A57="MALARIA_EST_MORTALITY"), "Estimated",
  OR(A57="MALARIA_RDT_POS", A57="MALARIA_MICR_POS", A57="MALARIA_MICR_TEST"), "Diagnostic",
  TRUE, "Reported"
)</f>
        <v>Diagnostic</v>
      </c>
      <c r="D57" s="2">
        <v>2015</v>
      </c>
      <c r="E57" s="2">
        <v>839849</v>
      </c>
    </row>
    <row r="58" spans="1:7" x14ac:dyDescent="0.4">
      <c r="A58" s="2" t="s">
        <v>29</v>
      </c>
      <c r="B58" s="2" t="s">
        <v>30</v>
      </c>
      <c r="C58" s="2" t="str" cm="1">
        <f t="array" ref="C58">_xlfn.IFS(
  OR(A58="MALARIA_EST_INCIDENCE", A58="MALARIA_EST_MORTALITY"), "Estimated",
  OR(A58="MALARIA_RDT_POS", A58="MALARIA_MICR_POS", A58="MALARIA_MICR_TEST"), "Diagnostic",
  TRUE, "Reported"
)</f>
        <v>Estimated</v>
      </c>
      <c r="D58" s="2">
        <v>2019</v>
      </c>
      <c r="E58" s="2">
        <v>86.669424759999998</v>
      </c>
      <c r="F58" s="2">
        <v>69.755007699999993</v>
      </c>
      <c r="G58" s="2">
        <v>110.3481718</v>
      </c>
    </row>
    <row r="59" spans="1:7" x14ac:dyDescent="0.4">
      <c r="A59" s="2" t="s">
        <v>48</v>
      </c>
      <c r="B59" s="2" t="s">
        <v>49</v>
      </c>
      <c r="C59" s="2" t="str" cm="1">
        <f t="array" ref="C59">_xlfn.IFS(
  OR(A59="MALARIA_EST_INCIDENCE", A59="MALARIA_EST_MORTALITY"), "Estimated",
  OR(A59="MALARIA_RDT_POS", A59="MALARIA_MICR_POS", A59="MALARIA_MICR_TEST"), "Diagnostic",
  TRUE, "Reported"
)</f>
        <v>Diagnostic</v>
      </c>
      <c r="D59" s="2">
        <v>2021</v>
      </c>
      <c r="E59" s="2">
        <v>2559742</v>
      </c>
    </row>
    <row r="60" spans="1:7" x14ac:dyDescent="0.4">
      <c r="A60" s="2" t="s">
        <v>33</v>
      </c>
      <c r="B60" s="2" t="s">
        <v>34</v>
      </c>
      <c r="C60" s="2" t="str" cm="1">
        <f t="array" ref="C60">_xlfn.IFS(
  OR(A60="MALARIA_EST_INCIDENCE", A60="MALARIA_EST_MORTALITY"), "Estimated",
  OR(A60="MALARIA_RDT_POS", A60="MALARIA_MICR_POS", A60="MALARIA_MICR_TEST"), "Diagnostic",
  TRUE, "Reported"
)</f>
        <v>Estimated</v>
      </c>
      <c r="D60" s="2">
        <v>2012</v>
      </c>
      <c r="E60" s="2">
        <v>316.22041819999998</v>
      </c>
      <c r="F60" s="2">
        <v>255.23952120000001</v>
      </c>
      <c r="G60" s="2">
        <v>389.00729030000002</v>
      </c>
    </row>
    <row r="61" spans="1:7" x14ac:dyDescent="0.4">
      <c r="A61" s="2" t="s">
        <v>48</v>
      </c>
      <c r="B61" s="2" t="s">
        <v>49</v>
      </c>
      <c r="C61" s="2" t="str" cm="1">
        <f t="array" ref="C61">_xlfn.IFS(
  OR(A61="MALARIA_EST_INCIDENCE", A61="MALARIA_EST_MORTALITY"), "Estimated",
  OR(A61="MALARIA_RDT_POS", A61="MALARIA_MICR_POS", A61="MALARIA_MICR_TEST"), "Diagnostic",
  TRUE, "Reported"
)</f>
        <v>Diagnostic</v>
      </c>
      <c r="D61" s="2">
        <v>2020</v>
      </c>
      <c r="E61" s="2">
        <v>2312163</v>
      </c>
    </row>
    <row r="62" spans="1:7" x14ac:dyDescent="0.4">
      <c r="A62" s="2" t="s">
        <v>68</v>
      </c>
      <c r="B62" s="2" t="s">
        <v>69</v>
      </c>
      <c r="C62" s="2" t="str" cm="1">
        <f t="array" ref="C62">_xlfn.IFS(
  OR(A62="MALARIA_EST_INCIDENCE", A62="MALARIA_EST_MORTALITY"), "Estimated",
  OR(A62="MALARIA_RDT_POS", A62="MALARIA_MICR_POS", A62="MALARIA_MICR_TEST"), "Diagnostic",
  TRUE, "Reported"
)</f>
        <v>Reported</v>
      </c>
      <c r="D62" s="2">
        <v>2015</v>
      </c>
      <c r="E62" s="2">
        <v>8068583</v>
      </c>
    </row>
    <row r="63" spans="1:7" x14ac:dyDescent="0.4">
      <c r="A63" s="2" t="s">
        <v>25</v>
      </c>
      <c r="B63" s="2" t="s">
        <v>26</v>
      </c>
      <c r="C63" s="2" t="str" cm="1">
        <f t="array" ref="C63">_xlfn.IFS(
  OR(A63="MALARIA_EST_INCIDENCE", A63="MALARIA_EST_MORTALITY"), "Estimated",
  OR(A63="MALARIA_RDT_POS", A63="MALARIA_MICR_POS", A63="MALARIA_MICR_TEST"), "Diagnostic",
  TRUE, "Reported"
)</f>
        <v>Reported</v>
      </c>
      <c r="D63" s="2">
        <v>2019</v>
      </c>
      <c r="E63" s="2">
        <v>19806915</v>
      </c>
    </row>
    <row r="64" spans="1:7" x14ac:dyDescent="0.4">
      <c r="A64" s="2" t="s">
        <v>68</v>
      </c>
      <c r="B64" s="2" t="s">
        <v>69</v>
      </c>
      <c r="C64" s="2" t="str" cm="1">
        <f t="array" ref="C64">_xlfn.IFS(
  OR(A64="MALARIA_EST_INCIDENCE", A64="MALARIA_EST_MORTALITY"), "Estimated",
  OR(A64="MALARIA_RDT_POS", A64="MALARIA_MICR_POS", A64="MALARIA_MICR_TEST"), "Diagnostic",
  TRUE, "Reported"
)</f>
        <v>Reported</v>
      </c>
      <c r="D64" s="2">
        <v>2016</v>
      </c>
      <c r="E64" s="2">
        <v>13598282</v>
      </c>
    </row>
    <row r="65" spans="1:7" x14ac:dyDescent="0.4">
      <c r="A65" s="2" t="s">
        <v>48</v>
      </c>
      <c r="B65" s="2" t="s">
        <v>49</v>
      </c>
      <c r="C65" s="2" t="str" cm="1">
        <f t="array" ref="C65">_xlfn.IFS(
  OR(A65="MALARIA_EST_INCIDENCE", A65="MALARIA_EST_MORTALITY"), "Estimated",
  OR(A65="MALARIA_RDT_POS", A65="MALARIA_MICR_POS", A65="MALARIA_MICR_TEST"), "Diagnostic",
  TRUE, "Reported"
)</f>
        <v>Diagnostic</v>
      </c>
      <c r="D65" s="2">
        <v>2023</v>
      </c>
      <c r="E65" s="2">
        <v>2448643</v>
      </c>
    </row>
    <row r="66" spans="1:7" x14ac:dyDescent="0.4">
      <c r="A66" s="2" t="s">
        <v>75</v>
      </c>
      <c r="B66" s="2" t="s">
        <v>76</v>
      </c>
      <c r="C66" s="2" t="str" cm="1">
        <f t="array" ref="C66">_xlfn.IFS(
  OR(A66="MALARIA_EST_INCIDENCE", A66="MALARIA_EST_MORTALITY"), "Estimated",
  OR(A66="MALARIA_RDT_POS", A66="MALARIA_MICR_POS", A66="MALARIA_MICR_TEST"), "Diagnostic",
  TRUE, "Reported"
)</f>
        <v>Diagnostic</v>
      </c>
      <c r="D66" s="2">
        <v>2023</v>
      </c>
      <c r="E66" s="2">
        <v>3200671</v>
      </c>
    </row>
    <row r="67" spans="1:7" x14ac:dyDescent="0.4">
      <c r="A67" s="2" t="s">
        <v>68</v>
      </c>
      <c r="B67" s="2" t="s">
        <v>69</v>
      </c>
      <c r="C67" s="2" t="str" cm="1">
        <f t="array" ref="C67">_xlfn.IFS(
  OR(A67="MALARIA_EST_INCIDENCE", A67="MALARIA_EST_MORTALITY"), "Estimated",
  OR(A67="MALARIA_RDT_POS", A67="MALARIA_MICR_POS", A67="MALARIA_MICR_TEST"), "Diagnostic",
  TRUE, "Reported"
)</f>
        <v>Reported</v>
      </c>
      <c r="D67" s="2">
        <v>2022</v>
      </c>
      <c r="E67" s="2">
        <v>23050405</v>
      </c>
    </row>
    <row r="68" spans="1:7" x14ac:dyDescent="0.4">
      <c r="A68" s="2" t="s">
        <v>17</v>
      </c>
      <c r="B68" s="2" t="s">
        <v>18</v>
      </c>
      <c r="C68" s="2" t="str" cm="1">
        <f t="array" ref="C68">_xlfn.IFS(
  OR(A68="MALARIA_EST_INCIDENCE", A68="MALARIA_EST_MORTALITY"), "Estimated",
  OR(A68="MALARIA_RDT_POS", A68="MALARIA_MICR_POS", A68="MALARIA_MICR_TEST"), "Diagnostic",
  TRUE, "Reported"
)</f>
        <v>Reported</v>
      </c>
      <c r="D68" s="2">
        <v>2021</v>
      </c>
      <c r="E68" s="2">
        <v>2283611</v>
      </c>
    </row>
    <row r="69" spans="1:7" x14ac:dyDescent="0.4">
      <c r="A69" s="2" t="s">
        <v>62</v>
      </c>
      <c r="B69" s="2" t="s">
        <v>63</v>
      </c>
      <c r="C69" s="2" t="str" cm="1">
        <f t="array" ref="C69">_xlfn.IFS(
  OR(A69="MALARIA_EST_INCIDENCE", A69="MALARIA_EST_MORTALITY"), "Estimated",
  OR(A69="MALARIA_RDT_POS", A69="MALARIA_MICR_POS", A69="MALARIA_MICR_TEST"), "Diagnostic",
  TRUE, "Reported"
)</f>
        <v>Reported</v>
      </c>
      <c r="D69" s="2">
        <v>2019</v>
      </c>
      <c r="E69" s="2">
        <v>19806915</v>
      </c>
    </row>
    <row r="70" spans="1:7" x14ac:dyDescent="0.4">
      <c r="A70" s="2" t="s">
        <v>86</v>
      </c>
      <c r="B70" s="2" t="s">
        <v>87</v>
      </c>
      <c r="C70" s="2" t="str" cm="1">
        <f t="array" ref="C70">_xlfn.IFS(
  OR(A70="MALARIA_EST_INCIDENCE", A70="MALARIA_EST_MORTALITY"), "Estimated",
  OR(A70="MALARIA_RDT_POS", A70="MALARIA_MICR_POS", A70="MALARIA_MICR_TEST"), "Diagnostic",
  TRUE, "Reported"
)</f>
        <v>Reported</v>
      </c>
      <c r="D70" s="2">
        <v>2022</v>
      </c>
      <c r="E70" s="2">
        <v>24968466</v>
      </c>
    </row>
    <row r="71" spans="1:7" x14ac:dyDescent="0.4">
      <c r="A71" s="2" t="s">
        <v>33</v>
      </c>
      <c r="B71" s="2" t="s">
        <v>34</v>
      </c>
      <c r="C71" s="2" t="str" cm="1">
        <f t="array" ref="C71">_xlfn.IFS(
  OR(A71="MALARIA_EST_INCIDENCE", A71="MALARIA_EST_MORTALITY"), "Estimated",
  OR(A71="MALARIA_RDT_POS", A71="MALARIA_MICR_POS", A71="MALARIA_MICR_TEST"), "Diagnostic",
  TRUE, "Reported"
)</f>
        <v>Estimated</v>
      </c>
      <c r="D71" s="2">
        <v>2000</v>
      </c>
      <c r="E71" s="2">
        <v>401.78839959999999</v>
      </c>
      <c r="F71" s="2">
        <v>312.40775300000001</v>
      </c>
      <c r="G71" s="2">
        <v>508.79932689999998</v>
      </c>
    </row>
    <row r="72" spans="1:7" x14ac:dyDescent="0.4">
      <c r="A72" s="2" t="s">
        <v>48</v>
      </c>
      <c r="B72" s="2" t="s">
        <v>49</v>
      </c>
      <c r="C72" s="2" t="str" cm="1">
        <f t="array" ref="C72">_xlfn.IFS(
  OR(A72="MALARIA_EST_INCIDENCE", A72="MALARIA_EST_MORTALITY"), "Estimated",
  OR(A72="MALARIA_RDT_POS", A72="MALARIA_MICR_POS", A72="MALARIA_MICR_TEST"), "Diagnostic",
  TRUE, "Reported"
)</f>
        <v>Diagnostic</v>
      </c>
      <c r="D72" s="2">
        <v>2019</v>
      </c>
      <c r="E72" s="2">
        <v>2476514</v>
      </c>
    </row>
    <row r="73" spans="1:7" x14ac:dyDescent="0.4">
      <c r="A73" s="2" t="s">
        <v>86</v>
      </c>
      <c r="B73" s="2" t="s">
        <v>87</v>
      </c>
      <c r="C73" s="2" t="str" cm="1">
        <f t="array" ref="C73">_xlfn.IFS(
  OR(A73="MALARIA_EST_INCIDENCE", A73="MALARIA_EST_MORTALITY"), "Estimated",
  OR(A73="MALARIA_RDT_POS", A73="MALARIA_MICR_POS", A73="MALARIA_MICR_TEST"), "Diagnostic",
  TRUE, "Reported"
)</f>
        <v>Reported</v>
      </c>
      <c r="D73" s="2">
        <v>2018</v>
      </c>
      <c r="E73" s="2">
        <v>20482380</v>
      </c>
    </row>
    <row r="74" spans="1:7" x14ac:dyDescent="0.4">
      <c r="A74" s="2" t="s">
        <v>29</v>
      </c>
      <c r="B74" s="2" t="s">
        <v>30</v>
      </c>
      <c r="C74" s="2" t="str" cm="1">
        <f t="array" ref="C74">_xlfn.IFS(
  OR(A74="MALARIA_EST_INCIDENCE", A74="MALARIA_EST_MORTALITY"), "Estimated",
  OR(A74="MALARIA_RDT_POS", A74="MALARIA_MICR_POS", A74="MALARIA_MICR_TEST"), "Diagnostic",
  TRUE, "Reported"
)</f>
        <v>Estimated</v>
      </c>
      <c r="D74" s="2">
        <v>2018</v>
      </c>
      <c r="E74" s="2">
        <v>88.365424529999999</v>
      </c>
      <c r="F74" s="2">
        <v>72.666014649999994</v>
      </c>
      <c r="G74" s="2">
        <v>109.4323405</v>
      </c>
    </row>
    <row r="75" spans="1:7" x14ac:dyDescent="0.4">
      <c r="A75" s="2" t="s">
        <v>68</v>
      </c>
      <c r="B75" s="2" t="s">
        <v>69</v>
      </c>
      <c r="C75" s="2" t="str" cm="1">
        <f t="array" ref="C75">_xlfn.IFS(
  OR(A75="MALARIA_EST_INCIDENCE", A75="MALARIA_EST_MORTALITY"), "Estimated",
  OR(A75="MALARIA_RDT_POS", A75="MALARIA_MICR_POS", A75="MALARIA_MICR_TEST"), "Diagnostic",
  TRUE, "Reported"
)</f>
        <v>Reported</v>
      </c>
      <c r="D75" s="2">
        <v>2021</v>
      </c>
      <c r="E75" s="2">
        <v>21325186</v>
      </c>
    </row>
    <row r="76" spans="1:7" x14ac:dyDescent="0.4">
      <c r="A76" s="2" t="s">
        <v>37</v>
      </c>
      <c r="B76" s="2" t="s">
        <v>38</v>
      </c>
      <c r="C76" s="2" t="str" cm="1">
        <f t="array" ref="C76">_xlfn.IFS(
  OR(A76="MALARIA_EST_INCIDENCE", A76="MALARIA_EST_MORTALITY"), "Estimated",
  OR(A76="MALARIA_RDT_POS", A76="MALARIA_MICR_POS", A76="MALARIA_MICR_TEST"), "Diagnostic",
  TRUE, "Reported"
)</f>
        <v>Diagnostic</v>
      </c>
      <c r="D76" s="2">
        <v>2018</v>
      </c>
      <c r="E76" s="2">
        <v>13524751</v>
      </c>
    </row>
    <row r="77" spans="1:7" x14ac:dyDescent="0.4">
      <c r="A77" s="2" t="s">
        <v>33</v>
      </c>
      <c r="B77" s="2" t="s">
        <v>34</v>
      </c>
      <c r="C77" s="2" t="str" cm="1">
        <f t="array" ref="C77">_xlfn.IFS(
  OR(A77="MALARIA_EST_INCIDENCE", A77="MALARIA_EST_MORTALITY"), "Estimated",
  OR(A77="MALARIA_RDT_POS", A77="MALARIA_MICR_POS", A77="MALARIA_MICR_TEST"), "Diagnostic",
  TRUE, "Reported"
)</f>
        <v>Estimated</v>
      </c>
      <c r="D77" s="2">
        <v>2021</v>
      </c>
      <c r="E77" s="2">
        <v>299.27110549999998</v>
      </c>
      <c r="F77" s="2">
        <v>217.44338740000001</v>
      </c>
      <c r="G77" s="2">
        <v>407.25210959999998</v>
      </c>
    </row>
    <row r="78" spans="1:7" x14ac:dyDescent="0.4">
      <c r="A78" s="2" t="s">
        <v>33</v>
      </c>
      <c r="B78" s="2" t="s">
        <v>34</v>
      </c>
      <c r="C78" s="2" t="str" cm="1">
        <f t="array" ref="C78">_xlfn.IFS(
  OR(A78="MALARIA_EST_INCIDENCE", A78="MALARIA_EST_MORTALITY"), "Estimated",
  OR(A78="MALARIA_RDT_POS", A78="MALARIA_MICR_POS", A78="MALARIA_MICR_TEST"), "Diagnostic",
  TRUE, "Reported"
)</f>
        <v>Estimated</v>
      </c>
      <c r="D78" s="2">
        <v>2002</v>
      </c>
      <c r="E78" s="2">
        <v>381.74663290000001</v>
      </c>
      <c r="F78" s="2">
        <v>296.16447310000001</v>
      </c>
      <c r="G78" s="2">
        <v>485.3366436</v>
      </c>
    </row>
    <row r="79" spans="1:7" x14ac:dyDescent="0.4">
      <c r="A79" s="2" t="s">
        <v>44</v>
      </c>
      <c r="B79" s="2" t="s">
        <v>45</v>
      </c>
      <c r="C79" s="2" t="str" cm="1">
        <f t="array" ref="C79">_xlfn.IFS(
  OR(A79="MALARIA_EST_INCIDENCE", A79="MALARIA_EST_MORTALITY"), "Estimated",
  OR(A79="MALARIA_RDT_POS", A79="MALARIA_MICR_POS", A79="MALARIA_MICR_TEST"), "Diagnostic",
  TRUE, "Reported"
)</f>
        <v>Reported</v>
      </c>
      <c r="D79" s="2">
        <v>2024</v>
      </c>
      <c r="E79" s="2">
        <v>33349112</v>
      </c>
    </row>
    <row r="80" spans="1:7" x14ac:dyDescent="0.4">
      <c r="A80" s="2" t="s">
        <v>86</v>
      </c>
      <c r="B80" s="2" t="s">
        <v>87</v>
      </c>
      <c r="C80" s="2" t="str" cm="1">
        <f t="array" ref="C80">_xlfn.IFS(
  OR(A80="MALARIA_EST_INCIDENCE", A80="MALARIA_EST_MORTALITY"), "Estimated",
  OR(A80="MALARIA_RDT_POS", A80="MALARIA_MICR_POS", A80="MALARIA_MICR_TEST"), "Diagnostic",
  TRUE, "Reported"
)</f>
        <v>Reported</v>
      </c>
      <c r="D80" s="2">
        <v>2023</v>
      </c>
      <c r="E80" s="2">
        <v>26411359</v>
      </c>
    </row>
    <row r="81" spans="1:7" x14ac:dyDescent="0.4">
      <c r="A81" s="2" t="s">
        <v>33</v>
      </c>
      <c r="B81" s="2" t="s">
        <v>34</v>
      </c>
      <c r="C81" s="2" t="str" cm="1">
        <f t="array" ref="C81">_xlfn.IFS(
  OR(A81="MALARIA_EST_INCIDENCE", A81="MALARIA_EST_MORTALITY"), "Estimated",
  OR(A81="MALARIA_RDT_POS", A81="MALARIA_MICR_POS", A81="MALARIA_MICR_TEST"), "Diagnostic",
  TRUE, "Reported"
)</f>
        <v>Estimated</v>
      </c>
      <c r="D81" s="2">
        <v>2014</v>
      </c>
      <c r="E81" s="2">
        <v>287.70492510000003</v>
      </c>
      <c r="F81" s="2">
        <v>230.3116421</v>
      </c>
      <c r="G81" s="2">
        <v>354.64426600000002</v>
      </c>
    </row>
    <row r="82" spans="1:7" x14ac:dyDescent="0.4">
      <c r="A82" s="2" t="s">
        <v>29</v>
      </c>
      <c r="B82" s="2" t="s">
        <v>30</v>
      </c>
      <c r="C82" s="2" t="str" cm="1">
        <f t="array" ref="C82">_xlfn.IFS(
  OR(A82="MALARIA_EST_INCIDENCE", A82="MALARIA_EST_MORTALITY"), "Estimated",
  OR(A82="MALARIA_RDT_POS", A82="MALARIA_MICR_POS", A82="MALARIA_MICR_TEST"), "Diagnostic",
  TRUE, "Reported"
)</f>
        <v>Estimated</v>
      </c>
      <c r="D82" s="2">
        <v>2011</v>
      </c>
      <c r="E82" s="2">
        <v>107.2286335</v>
      </c>
      <c r="F82" s="2">
        <v>98.167432379999994</v>
      </c>
      <c r="G82" s="2">
        <v>117.09678599999999</v>
      </c>
    </row>
    <row r="83" spans="1:7" x14ac:dyDescent="0.4">
      <c r="A83" s="2" t="s">
        <v>37</v>
      </c>
      <c r="B83" s="2" t="s">
        <v>38</v>
      </c>
      <c r="C83" s="2" t="str" cm="1">
        <f t="array" ref="C83">_xlfn.IFS(
  OR(A83="MALARIA_EST_INCIDENCE", A83="MALARIA_EST_MORTALITY"), "Estimated",
  OR(A83="MALARIA_RDT_POS", A83="MALARIA_MICR_POS", A83="MALARIA_MICR_TEST"), "Diagnostic",
  TRUE, "Reported"
)</f>
        <v>Diagnostic</v>
      </c>
      <c r="D83" s="2">
        <v>2020</v>
      </c>
      <c r="E83" s="2">
        <v>16013077</v>
      </c>
    </row>
    <row r="84" spans="1:7" x14ac:dyDescent="0.4">
      <c r="A84" s="2" t="s">
        <v>33</v>
      </c>
      <c r="B84" s="2" t="s">
        <v>34</v>
      </c>
      <c r="C84" s="2" t="str" cm="1">
        <f t="array" ref="C84">_xlfn.IFS(
  OR(A84="MALARIA_EST_INCIDENCE", A84="MALARIA_EST_MORTALITY"), "Estimated",
  OR(A84="MALARIA_RDT_POS", A84="MALARIA_MICR_POS", A84="MALARIA_MICR_TEST"), "Diagnostic",
  TRUE, "Reported"
)</f>
        <v>Estimated</v>
      </c>
      <c r="D84" s="2">
        <v>2015</v>
      </c>
      <c r="E84" s="2">
        <v>283.81281799999999</v>
      </c>
      <c r="F84" s="2">
        <v>227.06864759999999</v>
      </c>
      <c r="G84" s="2">
        <v>351.95487680000002</v>
      </c>
    </row>
    <row r="85" spans="1:7" x14ac:dyDescent="0.4">
      <c r="A85" s="2" t="s">
        <v>25</v>
      </c>
      <c r="B85" s="2" t="s">
        <v>26</v>
      </c>
      <c r="C85" s="2" t="str" cm="1">
        <f t="array" ref="C85">_xlfn.IFS(
  OR(A85="MALARIA_EST_INCIDENCE", A85="MALARIA_EST_MORTALITY"), "Estimated",
  OR(A85="MALARIA_RDT_POS", A85="MALARIA_MICR_POS", A85="MALARIA_MICR_TEST"), "Diagnostic",
  TRUE, "Reported"
)</f>
        <v>Reported</v>
      </c>
      <c r="D85" s="2">
        <v>2016</v>
      </c>
      <c r="E85" s="2">
        <v>13598282</v>
      </c>
    </row>
    <row r="86" spans="1:7" x14ac:dyDescent="0.4">
      <c r="A86" s="2" t="s">
        <v>75</v>
      </c>
      <c r="B86" s="2" t="s">
        <v>76</v>
      </c>
      <c r="C86" s="2" t="str" cm="1">
        <f t="array" ref="C86">_xlfn.IFS(
  OR(A86="MALARIA_EST_INCIDENCE", A86="MALARIA_EST_MORTALITY"), "Estimated",
  OR(A86="MALARIA_RDT_POS", A86="MALARIA_MICR_POS", A86="MALARIA_MICR_TEST"), "Diagnostic",
  TRUE, "Reported"
)</f>
        <v>Diagnostic</v>
      </c>
      <c r="D86" s="2">
        <v>2019</v>
      </c>
      <c r="E86" s="2">
        <v>3298156</v>
      </c>
    </row>
    <row r="87" spans="1:7" x14ac:dyDescent="0.4">
      <c r="A87" s="2" t="s">
        <v>17</v>
      </c>
      <c r="B87" s="2" t="s">
        <v>18</v>
      </c>
      <c r="C87" s="2" t="str" cm="1">
        <f t="array" ref="C87">_xlfn.IFS(
  OR(A87="MALARIA_EST_INCIDENCE", A87="MALARIA_EST_MORTALITY"), "Estimated",
  OR(A87="MALARIA_RDT_POS", A87="MALARIA_MICR_POS", A87="MALARIA_MICR_TEST"), "Diagnostic",
  TRUE, "Reported"
)</f>
        <v>Reported</v>
      </c>
      <c r="D87" s="2">
        <v>2019</v>
      </c>
      <c r="E87" s="2">
        <v>3569878</v>
      </c>
    </row>
    <row r="88" spans="1:7" x14ac:dyDescent="0.4">
      <c r="A88" s="2" t="s">
        <v>86</v>
      </c>
      <c r="B88" s="2" t="s">
        <v>87</v>
      </c>
      <c r="C88" s="2" t="str" cm="1">
        <f t="array" ref="C88">_xlfn.IFS(
  OR(A88="MALARIA_EST_INCIDENCE", A88="MALARIA_EST_MORTALITY"), "Estimated",
  OR(A88="MALARIA_RDT_POS", A88="MALARIA_MICR_POS", A88="MALARIA_MICR_TEST"), "Diagnostic",
  TRUE, "Reported"
)</f>
        <v>Reported</v>
      </c>
      <c r="D88" s="2">
        <v>2016</v>
      </c>
      <c r="E88" s="2">
        <v>23956669</v>
      </c>
    </row>
    <row r="89" spans="1:7" x14ac:dyDescent="0.4">
      <c r="A89" s="2" t="s">
        <v>33</v>
      </c>
      <c r="B89" s="2" t="s">
        <v>34</v>
      </c>
      <c r="C89" s="2" t="str" cm="1">
        <f t="array" ref="C89">_xlfn.IFS(
  OR(A89="MALARIA_EST_INCIDENCE", A89="MALARIA_EST_MORTALITY"), "Estimated",
  OR(A89="MALARIA_RDT_POS", A89="MALARIA_MICR_POS", A89="MALARIA_MICR_TEST"), "Diagnostic",
  TRUE, "Reported"
)</f>
        <v>Estimated</v>
      </c>
      <c r="D89" s="2">
        <v>2008</v>
      </c>
      <c r="E89" s="2">
        <v>402.01486319999998</v>
      </c>
      <c r="F89" s="2">
        <v>328.55853029999997</v>
      </c>
      <c r="G89" s="2">
        <v>486.985995</v>
      </c>
    </row>
    <row r="90" spans="1:7" x14ac:dyDescent="0.4">
      <c r="A90" s="2" t="s">
        <v>68</v>
      </c>
      <c r="B90" s="2" t="s">
        <v>69</v>
      </c>
      <c r="C90" s="2" t="str" cm="1">
        <f t="array" ref="C90">_xlfn.IFS(
  OR(A90="MALARIA_EST_INCIDENCE", A90="MALARIA_EST_MORTALITY"), "Estimated",
  OR(A90="MALARIA_RDT_POS", A90="MALARIA_MICR_POS", A90="MALARIA_MICR_TEST"), "Diagnostic",
  TRUE, "Reported"
)</f>
        <v>Reported</v>
      </c>
      <c r="D90" s="2">
        <v>2017</v>
      </c>
      <c r="E90" s="2">
        <v>13087878</v>
      </c>
    </row>
    <row r="91" spans="1:7" x14ac:dyDescent="0.4">
      <c r="A91" s="2" t="s">
        <v>33</v>
      </c>
      <c r="B91" s="2" t="s">
        <v>34</v>
      </c>
      <c r="C91" s="2" t="str" cm="1">
        <f t="array" ref="C91">_xlfn.IFS(
  OR(A91="MALARIA_EST_INCIDENCE", A91="MALARIA_EST_MORTALITY"), "Estimated",
  OR(A91="MALARIA_RDT_POS", A91="MALARIA_MICR_POS", A91="MALARIA_MICR_TEST"), "Diagnostic",
  TRUE, "Reported"
)</f>
        <v>Estimated</v>
      </c>
      <c r="D91" s="2">
        <v>2022</v>
      </c>
      <c r="E91" s="2">
        <v>298.99760079999999</v>
      </c>
      <c r="F91" s="2">
        <v>215.47839759999999</v>
      </c>
      <c r="G91" s="2">
        <v>402.84616369999998</v>
      </c>
    </row>
    <row r="92" spans="1:7" x14ac:dyDescent="0.4">
      <c r="A92" s="2" t="s">
        <v>86</v>
      </c>
      <c r="B92" s="2" t="s">
        <v>87</v>
      </c>
      <c r="C92" s="2" t="str" cm="1">
        <f t="array" ref="C92">_xlfn.IFS(
  OR(A92="MALARIA_EST_INCIDENCE", A92="MALARIA_EST_MORTALITY"), "Estimated",
  OR(A92="MALARIA_RDT_POS", A92="MALARIA_MICR_POS", A92="MALARIA_MICR_TEST"), "Diagnostic",
  TRUE, "Reported"
)</f>
        <v>Reported</v>
      </c>
      <c r="D92" s="2">
        <v>2017</v>
      </c>
      <c r="E92" s="2">
        <v>20219268</v>
      </c>
    </row>
    <row r="93" spans="1:7" x14ac:dyDescent="0.4">
      <c r="A93" s="2" t="s">
        <v>17</v>
      </c>
      <c r="B93" s="2" t="s">
        <v>18</v>
      </c>
      <c r="C93" s="2" t="str" cm="1">
        <f t="array" ref="C93">_xlfn.IFS(
  OR(A93="MALARIA_EST_INCIDENCE", A93="MALARIA_EST_MORTALITY"), "Estimated",
  OR(A93="MALARIA_RDT_POS", A93="MALARIA_MICR_POS", A93="MALARIA_MICR_TEST"), "Diagnostic",
  TRUE, "Reported"
)</f>
        <v>Reported</v>
      </c>
      <c r="D93" s="2">
        <v>2024</v>
      </c>
      <c r="E93" s="2">
        <v>1364197</v>
      </c>
    </row>
    <row r="94" spans="1:7" x14ac:dyDescent="0.4">
      <c r="A94" s="2" t="s">
        <v>37</v>
      </c>
      <c r="B94" s="2" t="s">
        <v>38</v>
      </c>
      <c r="C94" s="2" t="str" cm="1">
        <f t="array" ref="C94">_xlfn.IFS(
  OR(A94="MALARIA_EST_INCIDENCE", A94="MALARIA_EST_MORTALITY"), "Estimated",
  OR(A94="MALARIA_RDT_POS", A94="MALARIA_MICR_POS", A94="MALARIA_MICR_TEST"), "Diagnostic",
  TRUE, "Reported"
)</f>
        <v>Diagnostic</v>
      </c>
      <c r="D94" s="2">
        <v>2016</v>
      </c>
      <c r="E94" s="2">
        <v>12979919</v>
      </c>
    </row>
    <row r="95" spans="1:7" x14ac:dyDescent="0.4">
      <c r="A95" s="2" t="s">
        <v>37</v>
      </c>
      <c r="B95" s="2" t="s">
        <v>38</v>
      </c>
      <c r="C95" s="2" t="str" cm="1">
        <f t="array" ref="C95">_xlfn.IFS(
  OR(A95="MALARIA_EST_INCIDENCE", A95="MALARIA_EST_MORTALITY"), "Estimated",
  OR(A95="MALARIA_RDT_POS", A95="MALARIA_MICR_POS", A95="MALARIA_MICR_TEST"), "Diagnostic",
  TRUE, "Reported"
)</f>
        <v>Diagnostic</v>
      </c>
      <c r="D95" s="2">
        <v>2021</v>
      </c>
      <c r="E95" s="2">
        <v>18765444</v>
      </c>
    </row>
    <row r="96" spans="1:7" x14ac:dyDescent="0.4">
      <c r="A96" s="2" t="s">
        <v>48</v>
      </c>
      <c r="B96" s="2" t="s">
        <v>49</v>
      </c>
      <c r="C96" s="2" t="str" cm="1">
        <f t="array" ref="C96">_xlfn.IFS(
  OR(A96="MALARIA_EST_INCIDENCE", A96="MALARIA_EST_MORTALITY"), "Estimated",
  OR(A96="MALARIA_RDT_POS", A96="MALARIA_MICR_POS", A96="MALARIA_MICR_TEST"), "Diagnostic",
  TRUE, "Reported"
)</f>
        <v>Diagnostic</v>
      </c>
      <c r="D96" s="2">
        <v>2017</v>
      </c>
      <c r="E96" s="2">
        <v>749118</v>
      </c>
    </row>
    <row r="97" spans="1:7" x14ac:dyDescent="0.4">
      <c r="A97" s="2" t="s">
        <v>29</v>
      </c>
      <c r="B97" s="2" t="s">
        <v>30</v>
      </c>
      <c r="C97" s="2" t="str" cm="1">
        <f t="array" ref="C97">_xlfn.IFS(
  OR(A97="MALARIA_EST_INCIDENCE", A97="MALARIA_EST_MORTALITY"), "Estimated",
  OR(A97="MALARIA_RDT_POS", A97="MALARIA_MICR_POS", A97="MALARIA_MICR_TEST"), "Diagnostic",
  TRUE, "Reported"
)</f>
        <v>Estimated</v>
      </c>
      <c r="D97" s="2">
        <v>2016</v>
      </c>
      <c r="E97" s="2">
        <v>87.916366710000005</v>
      </c>
      <c r="F97" s="2">
        <v>75.590963020000004</v>
      </c>
      <c r="G97" s="2">
        <v>103.89892330000001</v>
      </c>
    </row>
    <row r="98" spans="1:7" x14ac:dyDescent="0.4">
      <c r="A98" s="2" t="s">
        <v>44</v>
      </c>
      <c r="B98" s="2" t="s">
        <v>45</v>
      </c>
      <c r="C98" s="2" t="str" cm="1">
        <f t="array" ref="C98">_xlfn.IFS(
  OR(A98="MALARIA_EST_INCIDENCE", A98="MALARIA_EST_MORTALITY"), "Estimated",
  OR(A98="MALARIA_RDT_POS", A98="MALARIA_MICR_POS", A98="MALARIA_MICR_TEST"), "Diagnostic",
  TRUE, "Reported"
)</f>
        <v>Reported</v>
      </c>
      <c r="D98" s="2">
        <v>2019</v>
      </c>
      <c r="E98" s="2">
        <v>29489245</v>
      </c>
    </row>
    <row r="99" spans="1:7" x14ac:dyDescent="0.4">
      <c r="A99" s="2" t="s">
        <v>86</v>
      </c>
      <c r="B99" s="2" t="s">
        <v>87</v>
      </c>
      <c r="C99" s="2" t="str" cm="1">
        <f t="array" ref="C99">_xlfn.IFS(
  OR(A99="MALARIA_EST_INCIDENCE", A99="MALARIA_EST_MORTALITY"), "Estimated",
  OR(A99="MALARIA_RDT_POS", A99="MALARIA_MICR_POS", A99="MALARIA_MICR_TEST"), "Diagnostic",
  TRUE, "Reported"
)</f>
        <v>Reported</v>
      </c>
      <c r="D99" s="2">
        <v>2019</v>
      </c>
      <c r="E99" s="2">
        <v>23376793</v>
      </c>
    </row>
    <row r="100" spans="1:7" x14ac:dyDescent="0.4">
      <c r="A100" s="2" t="s">
        <v>29</v>
      </c>
      <c r="B100" s="2" t="s">
        <v>30</v>
      </c>
      <c r="C100" s="2" t="str" cm="1">
        <f t="array" ref="C100">_xlfn.IFS(
  OR(A100="MALARIA_EST_INCIDENCE", A100="MALARIA_EST_MORTALITY"), "Estimated",
  OR(A100="MALARIA_RDT_POS", A100="MALARIA_MICR_POS", A100="MALARIA_MICR_TEST"), "Diagnostic",
  TRUE, "Reported"
)</f>
        <v>Estimated</v>
      </c>
      <c r="D100" s="2">
        <v>2010</v>
      </c>
      <c r="E100" s="2">
        <v>119.5568596</v>
      </c>
      <c r="F100" s="2">
        <v>110.2447308</v>
      </c>
      <c r="G100" s="2">
        <v>129.36651929999999</v>
      </c>
    </row>
    <row r="101" spans="1:7" x14ac:dyDescent="0.4">
      <c r="A101" s="2" t="s">
        <v>29</v>
      </c>
      <c r="B101" s="2" t="s">
        <v>30</v>
      </c>
      <c r="C101" s="2" t="str" cm="1">
        <f t="array" ref="C101">_xlfn.IFS(
  OR(A101="MALARIA_EST_INCIDENCE", A101="MALARIA_EST_MORTALITY"), "Estimated",
  OR(A101="MALARIA_RDT_POS", A101="MALARIA_MICR_POS", A101="MALARIA_MICR_TEST"), "Diagnostic",
  TRUE, "Reported"
)</f>
        <v>Estimated</v>
      </c>
      <c r="D101" s="2">
        <v>2024</v>
      </c>
      <c r="E101" s="2">
        <v>79.479721369999993</v>
      </c>
      <c r="F101" s="2">
        <v>58.010068930000003</v>
      </c>
      <c r="G101" s="2">
        <v>113.4252592</v>
      </c>
    </row>
    <row r="102" spans="1:7" x14ac:dyDescent="0.4">
      <c r="A102" s="2" t="s">
        <v>25</v>
      </c>
      <c r="B102" s="2" t="s">
        <v>26</v>
      </c>
      <c r="C102" s="2" t="str" cm="1">
        <f t="array" ref="C102">_xlfn.IFS(
  OR(A102="MALARIA_EST_INCIDENCE", A102="MALARIA_EST_MORTALITY"), "Estimated",
  OR(A102="MALARIA_RDT_POS", A102="MALARIA_MICR_POS", A102="MALARIA_MICR_TEST"), "Diagnostic",
  TRUE, "Reported"
)</f>
        <v>Reported</v>
      </c>
      <c r="D102" s="2">
        <v>2024</v>
      </c>
      <c r="E102" s="2">
        <v>22683496</v>
      </c>
    </row>
    <row r="103" spans="1:7" x14ac:dyDescent="0.4">
      <c r="A103" s="2" t="s">
        <v>33</v>
      </c>
      <c r="B103" s="2" t="s">
        <v>34</v>
      </c>
      <c r="C103" s="2" t="str" cm="1">
        <f t="array" ref="C103">_xlfn.IFS(
  OR(A103="MALARIA_EST_INCIDENCE", A103="MALARIA_EST_MORTALITY"), "Estimated",
  OR(A103="MALARIA_RDT_POS", A103="MALARIA_MICR_POS", A103="MALARIA_MICR_TEST"), "Diagnostic",
  TRUE, "Reported"
)</f>
        <v>Estimated</v>
      </c>
      <c r="D103" s="2">
        <v>2024</v>
      </c>
      <c r="E103" s="2">
        <v>294.25179370000001</v>
      </c>
      <c r="F103" s="2">
        <v>211.02995419999999</v>
      </c>
      <c r="G103" s="2">
        <v>397.35969619999997</v>
      </c>
    </row>
    <row r="104" spans="1:7" x14ac:dyDescent="0.4">
      <c r="A104" s="2" t="s">
        <v>62</v>
      </c>
      <c r="B104" s="2" t="s">
        <v>63</v>
      </c>
      <c r="C104" s="2" t="str" cm="1">
        <f t="array" ref="C104">_xlfn.IFS(
  OR(A104="MALARIA_EST_INCIDENCE", A104="MALARIA_EST_MORTALITY"), "Estimated",
  OR(A104="MALARIA_RDT_POS", A104="MALARIA_MICR_POS", A104="MALARIA_MICR_TEST"), "Diagnostic",
  TRUE, "Reported"
)</f>
        <v>Reported</v>
      </c>
      <c r="D104" s="2">
        <v>2022</v>
      </c>
      <c r="E104" s="2">
        <v>23050405</v>
      </c>
    </row>
    <row r="105" spans="1:7" x14ac:dyDescent="0.4">
      <c r="A105" s="2" t="s">
        <v>17</v>
      </c>
      <c r="B105" s="2" t="s">
        <v>18</v>
      </c>
      <c r="C105" s="2" t="str" cm="1">
        <f t="array" ref="C105">_xlfn.IFS(
  OR(A105="MALARIA_EST_INCIDENCE", A105="MALARIA_EST_MORTALITY"), "Estimated",
  OR(A105="MALARIA_RDT_POS", A105="MALARIA_MICR_POS", A105="MALARIA_MICR_TEST"), "Diagnostic",
  TRUE, "Reported"
)</f>
        <v>Reported</v>
      </c>
      <c r="D105" s="2">
        <v>2022</v>
      </c>
      <c r="E105" s="2">
        <v>1918061</v>
      </c>
    </row>
    <row r="106" spans="1:7" x14ac:dyDescent="0.4">
      <c r="A106" s="2" t="s">
        <v>75</v>
      </c>
      <c r="B106" s="2" t="s">
        <v>76</v>
      </c>
      <c r="C106" s="2" t="str" cm="1">
        <f t="array" ref="C106">_xlfn.IFS(
  OR(A106="MALARIA_EST_INCIDENCE", A106="MALARIA_EST_MORTALITY"), "Estimated",
  OR(A106="MALARIA_RDT_POS", A106="MALARIA_MICR_POS", A106="MALARIA_MICR_TEST"), "Diagnostic",
  TRUE, "Reported"
)</f>
        <v>Diagnostic</v>
      </c>
      <c r="D106" s="2">
        <v>2018</v>
      </c>
      <c r="E106" s="2">
        <v>1428731</v>
      </c>
    </row>
    <row r="107" spans="1:7" x14ac:dyDescent="0.4">
      <c r="A107" s="2" t="s">
        <v>44</v>
      </c>
      <c r="B107" s="2" t="s">
        <v>45</v>
      </c>
      <c r="C107" s="2" t="str" cm="1">
        <f t="array" ref="C107">_xlfn.IFS(
  OR(A107="MALARIA_EST_INCIDENCE", A107="MALARIA_EST_MORTALITY"), "Estimated",
  OR(A107="MALARIA_RDT_POS", A107="MALARIA_MICR_POS", A107="MALARIA_MICR_TEST"), "Diagnostic",
  TRUE, "Reported"
)</f>
        <v>Reported</v>
      </c>
      <c r="D107" s="2">
        <v>2020</v>
      </c>
      <c r="E107" s="2">
        <v>27370935</v>
      </c>
    </row>
    <row r="108" spans="1:7" x14ac:dyDescent="0.4">
      <c r="A108" s="2" t="s">
        <v>29</v>
      </c>
      <c r="B108" s="2" t="s">
        <v>30</v>
      </c>
      <c r="C108" s="2" t="str" cm="1">
        <f t="array" ref="C108">_xlfn.IFS(
  OR(A108="MALARIA_EST_INCIDENCE", A108="MALARIA_EST_MORTALITY"), "Estimated",
  OR(A108="MALARIA_RDT_POS", A108="MALARIA_MICR_POS", A108="MALARIA_MICR_TEST"), "Diagnostic",
  TRUE, "Reported"
)</f>
        <v>Estimated</v>
      </c>
      <c r="D108" s="2">
        <v>2012</v>
      </c>
      <c r="E108" s="2">
        <v>97.622809779999997</v>
      </c>
      <c r="F108" s="2">
        <v>88.708993449999994</v>
      </c>
      <c r="G108" s="2">
        <v>107.7306627</v>
      </c>
    </row>
    <row r="109" spans="1:7" x14ac:dyDescent="0.4">
      <c r="A109" s="2" t="s">
        <v>75</v>
      </c>
      <c r="B109" s="2" t="s">
        <v>76</v>
      </c>
      <c r="C109" s="2" t="str" cm="1">
        <f t="array" ref="C109">_xlfn.IFS(
  OR(A109="MALARIA_EST_INCIDENCE", A109="MALARIA_EST_MORTALITY"), "Estimated",
  OR(A109="MALARIA_RDT_POS", A109="MALARIA_MICR_POS", A109="MALARIA_MICR_TEST"), "Diagnostic",
  TRUE, "Reported"
)</f>
        <v>Diagnostic</v>
      </c>
      <c r="D109" s="2">
        <v>2024</v>
      </c>
      <c r="E109" s="2">
        <v>2893563</v>
      </c>
    </row>
    <row r="110" spans="1:7" x14ac:dyDescent="0.4">
      <c r="A110" s="2" t="s">
        <v>44</v>
      </c>
      <c r="B110" s="2" t="s">
        <v>45</v>
      </c>
      <c r="C110" s="2" t="str" cm="1">
        <f t="array" ref="C110">_xlfn.IFS(
  OR(A110="MALARIA_EST_INCIDENCE", A110="MALARIA_EST_MORTALITY"), "Estimated",
  OR(A110="MALARIA_RDT_POS", A110="MALARIA_MICR_POS", A110="MALARIA_MICR_TEST"), "Diagnostic",
  TRUE, "Reported"
)</f>
        <v>Reported</v>
      </c>
      <c r="D110" s="2">
        <v>2023</v>
      </c>
      <c r="E110" s="2">
        <v>35179110</v>
      </c>
    </row>
    <row r="111" spans="1:7" x14ac:dyDescent="0.4">
      <c r="A111" s="2" t="s">
        <v>75</v>
      </c>
      <c r="B111" s="2" t="s">
        <v>76</v>
      </c>
      <c r="C111" s="2" t="str" cm="1">
        <f t="array" ref="C111">_xlfn.IFS(
  OR(A111="MALARIA_EST_INCIDENCE", A111="MALARIA_EST_MORTALITY"), "Estimated",
  OR(A111="MALARIA_RDT_POS", A111="MALARIA_MICR_POS", A111="MALARIA_MICR_TEST"), "Diagnostic",
  TRUE, "Reported"
)</f>
        <v>Diagnostic</v>
      </c>
      <c r="D111" s="2">
        <v>2020</v>
      </c>
      <c r="E111" s="2">
        <v>3086039</v>
      </c>
    </row>
    <row r="112" spans="1:7" x14ac:dyDescent="0.4">
      <c r="A112" s="2" t="s">
        <v>29</v>
      </c>
      <c r="B112" s="2" t="s">
        <v>30</v>
      </c>
      <c r="C112" s="2" t="str" cm="1">
        <f t="array" ref="C112">_xlfn.IFS(
  OR(A112="MALARIA_EST_INCIDENCE", A112="MALARIA_EST_MORTALITY"), "Estimated",
  OR(A112="MALARIA_RDT_POS", A112="MALARIA_MICR_POS", A112="MALARIA_MICR_TEST"), "Diagnostic",
  TRUE, "Reported"
)</f>
        <v>Estimated</v>
      </c>
      <c r="D112" s="2">
        <v>2021</v>
      </c>
      <c r="E112" s="2">
        <v>87.293105420000003</v>
      </c>
      <c r="F112" s="2">
        <v>67.023968589999996</v>
      </c>
      <c r="G112" s="2">
        <v>118.0905908</v>
      </c>
    </row>
    <row r="113" spans="1:7" x14ac:dyDescent="0.4">
      <c r="A113" s="2" t="s">
        <v>29</v>
      </c>
      <c r="B113" s="2" t="s">
        <v>30</v>
      </c>
      <c r="C113" s="2" t="str" cm="1">
        <f t="array" ref="C113">_xlfn.IFS(
  OR(A113="MALARIA_EST_INCIDENCE", A113="MALARIA_EST_MORTALITY"), "Estimated",
  OR(A113="MALARIA_RDT_POS", A113="MALARIA_MICR_POS", A113="MALARIA_MICR_TEST"), "Diagnostic",
  TRUE, "Reported"
)</f>
        <v>Estimated</v>
      </c>
      <c r="D113" s="2">
        <v>2006</v>
      </c>
      <c r="E113" s="2">
        <v>159.71442149999999</v>
      </c>
      <c r="F113" s="2">
        <v>149.50495530000001</v>
      </c>
      <c r="G113" s="2">
        <v>170.31630150000001</v>
      </c>
    </row>
    <row r="114" spans="1:7" x14ac:dyDescent="0.4">
      <c r="A114" s="2" t="s">
        <v>29</v>
      </c>
      <c r="B114" s="2" t="s">
        <v>30</v>
      </c>
      <c r="C114" s="2" t="str" cm="1">
        <f t="array" ref="C114">_xlfn.IFS(
  OR(A114="MALARIA_EST_INCIDENCE", A114="MALARIA_EST_MORTALITY"), "Estimated",
  OR(A114="MALARIA_RDT_POS", A114="MALARIA_MICR_POS", A114="MALARIA_MICR_TEST"), "Diagnostic",
  TRUE, "Reported"
)</f>
        <v>Estimated</v>
      </c>
      <c r="D114" s="2">
        <v>2013</v>
      </c>
      <c r="E114" s="2">
        <v>90.509530040000001</v>
      </c>
      <c r="F114" s="2">
        <v>81.527439439999995</v>
      </c>
      <c r="G114" s="2">
        <v>101.0994549</v>
      </c>
    </row>
    <row r="115" spans="1:7" x14ac:dyDescent="0.4">
      <c r="A115" s="2" t="s">
        <v>29</v>
      </c>
      <c r="B115" s="2" t="s">
        <v>30</v>
      </c>
      <c r="C115" s="2" t="str" cm="1">
        <f t="array" ref="C115">_xlfn.IFS(
  OR(A115="MALARIA_EST_INCIDENCE", A115="MALARIA_EST_MORTALITY"), "Estimated",
  OR(A115="MALARIA_RDT_POS", A115="MALARIA_MICR_POS", A115="MALARIA_MICR_TEST"), "Diagnostic",
  TRUE, "Reported"
)</f>
        <v>Estimated</v>
      </c>
      <c r="D115" s="2">
        <v>2004</v>
      </c>
      <c r="E115" s="2">
        <v>160.45210650000001</v>
      </c>
      <c r="F115" s="2">
        <v>150.76515670000001</v>
      </c>
      <c r="G115" s="2">
        <v>170.58488639999999</v>
      </c>
    </row>
    <row r="116" spans="1:7" x14ac:dyDescent="0.4">
      <c r="A116" s="2" t="s">
        <v>62</v>
      </c>
      <c r="B116" s="2" t="s">
        <v>63</v>
      </c>
      <c r="C116" s="2" t="str" cm="1">
        <f t="array" ref="C116">_xlfn.IFS(
  OR(A116="MALARIA_EST_INCIDENCE", A116="MALARIA_EST_MORTALITY"), "Estimated",
  OR(A116="MALARIA_RDT_POS", A116="MALARIA_MICR_POS", A116="MALARIA_MICR_TEST"), "Diagnostic",
  TRUE, "Reported"
)</f>
        <v>Reported</v>
      </c>
      <c r="D116" s="2">
        <v>2020</v>
      </c>
      <c r="E116" s="2">
        <v>18325240</v>
      </c>
    </row>
    <row r="117" spans="1:7" x14ac:dyDescent="0.4">
      <c r="A117" s="2" t="s">
        <v>33</v>
      </c>
      <c r="B117" s="2" t="s">
        <v>34</v>
      </c>
      <c r="C117" s="2" t="str" cm="1">
        <f t="array" ref="C117">_xlfn.IFS(
  OR(A117="MALARIA_EST_INCIDENCE", A117="MALARIA_EST_MORTALITY"), "Estimated",
  OR(A117="MALARIA_RDT_POS", A117="MALARIA_MICR_POS", A117="MALARIA_MICR_TEST"), "Diagnostic",
  TRUE, "Reported"
)</f>
        <v>Estimated</v>
      </c>
      <c r="D117" s="2">
        <v>2007</v>
      </c>
      <c r="E117" s="2">
        <v>400.6095535</v>
      </c>
      <c r="F117" s="2">
        <v>324.02819920000002</v>
      </c>
      <c r="G117" s="2">
        <v>489.81634259999998</v>
      </c>
    </row>
    <row r="118" spans="1:7" x14ac:dyDescent="0.4">
      <c r="A118" s="2" t="s">
        <v>29</v>
      </c>
      <c r="B118" s="2" t="s">
        <v>30</v>
      </c>
      <c r="C118" s="2" t="str" cm="1">
        <f t="array" ref="C118">_xlfn.IFS(
  OR(A118="MALARIA_EST_INCIDENCE", A118="MALARIA_EST_MORTALITY"), "Estimated",
  OR(A118="MALARIA_RDT_POS", A118="MALARIA_MICR_POS", A118="MALARIA_MICR_TEST"), "Diagnostic",
  TRUE, "Reported"
)</f>
        <v>Estimated</v>
      </c>
      <c r="D118" s="2">
        <v>2014</v>
      </c>
      <c r="E118" s="2">
        <v>89.235477630000005</v>
      </c>
      <c r="F118" s="2">
        <v>79.460570930000003</v>
      </c>
      <c r="G118" s="2">
        <v>101.3276767</v>
      </c>
    </row>
    <row r="119" spans="1:7" x14ac:dyDescent="0.4">
      <c r="A119" s="2" t="s">
        <v>86</v>
      </c>
      <c r="B119" s="2" t="s">
        <v>87</v>
      </c>
      <c r="C119" s="2" t="str" cm="1">
        <f t="array" ref="C119">_xlfn.IFS(
  OR(A119="MALARIA_EST_INCIDENCE", A119="MALARIA_EST_MORTALITY"), "Estimated",
  OR(A119="MALARIA_RDT_POS", A119="MALARIA_MICR_POS", A119="MALARIA_MICR_TEST"), "Diagnostic",
  TRUE, "Reported"
)</f>
        <v>Reported</v>
      </c>
      <c r="D119" s="2">
        <v>2020</v>
      </c>
      <c r="E119" s="2">
        <v>21580055</v>
      </c>
    </row>
    <row r="120" spans="1:7" x14ac:dyDescent="0.4">
      <c r="A120" s="2" t="s">
        <v>75</v>
      </c>
      <c r="B120" s="2" t="s">
        <v>76</v>
      </c>
      <c r="C120" s="2" t="str" cm="1">
        <f t="array" ref="C120">_xlfn.IFS(
  OR(A120="MALARIA_EST_INCIDENCE", A120="MALARIA_EST_MORTALITY"), "Estimated",
  OR(A120="MALARIA_RDT_POS", A120="MALARIA_MICR_POS", A120="MALARIA_MICR_TEST"), "Diagnostic",
  TRUE, "Reported"
)</f>
        <v>Diagnostic</v>
      </c>
      <c r="D120" s="2">
        <v>2017</v>
      </c>
      <c r="E120" s="2">
        <v>1055444</v>
      </c>
    </row>
    <row r="121" spans="1:7" x14ac:dyDescent="0.4">
      <c r="A121" s="2" t="s">
        <v>29</v>
      </c>
      <c r="B121" s="2" t="s">
        <v>30</v>
      </c>
      <c r="C121" s="2" t="str" cm="1">
        <f t="array" ref="C121">_xlfn.IFS(
  OR(A121="MALARIA_EST_INCIDENCE", A121="MALARIA_EST_MORTALITY"), "Estimated",
  OR(A121="MALARIA_RDT_POS", A121="MALARIA_MICR_POS", A121="MALARIA_MICR_TEST"), "Diagnostic",
  TRUE, "Reported"
)</f>
        <v>Estimated</v>
      </c>
      <c r="D121" s="2">
        <v>2017</v>
      </c>
      <c r="E121" s="2">
        <v>88.475380569999999</v>
      </c>
      <c r="F121" s="2">
        <v>74.685833149999993</v>
      </c>
      <c r="G121" s="2">
        <v>107.0977513</v>
      </c>
    </row>
    <row r="122" spans="1:7" x14ac:dyDescent="0.4">
      <c r="A122" s="2" t="s">
        <v>25</v>
      </c>
      <c r="B122" s="2" t="s">
        <v>26</v>
      </c>
      <c r="C122" s="2" t="str" cm="1">
        <f t="array" ref="C122">_xlfn.IFS(
  OR(A122="MALARIA_EST_INCIDENCE", A122="MALARIA_EST_MORTALITY"), "Estimated",
  OR(A122="MALARIA_RDT_POS", A122="MALARIA_MICR_POS", A122="MALARIA_MICR_TEST"), "Diagnostic",
  TRUE, "Reported"
)</f>
        <v>Reported</v>
      </c>
      <c r="D122" s="2">
        <v>2020</v>
      </c>
      <c r="E122" s="2">
        <v>18325240</v>
      </c>
    </row>
    <row r="123" spans="1:7" x14ac:dyDescent="0.4">
      <c r="A123" s="2" t="s">
        <v>25</v>
      </c>
      <c r="B123" s="2" t="s">
        <v>26</v>
      </c>
      <c r="C123" s="2" t="str" cm="1">
        <f t="array" ref="C123">_xlfn.IFS(
  OR(A123="MALARIA_EST_INCIDENCE", A123="MALARIA_EST_MORTALITY"), "Estimated",
  OR(A123="MALARIA_RDT_POS", A123="MALARIA_MICR_POS", A123="MALARIA_MICR_TEST"), "Diagnostic",
  TRUE, "Reported"
)</f>
        <v>Reported</v>
      </c>
      <c r="D123" s="2">
        <v>2022</v>
      </c>
      <c r="E123" s="2">
        <v>23050405</v>
      </c>
    </row>
    <row r="124" spans="1:7" x14ac:dyDescent="0.4">
      <c r="A124" s="2" t="s">
        <v>37</v>
      </c>
      <c r="B124" s="2" t="s">
        <v>38</v>
      </c>
      <c r="C124" s="2" t="str" cm="1">
        <f t="array" ref="C124">_xlfn.IFS(
  OR(A124="MALARIA_EST_INCIDENCE", A124="MALARIA_EST_MORTALITY"), "Estimated",
  OR(A124="MALARIA_RDT_POS", A124="MALARIA_MICR_POS", A124="MALARIA_MICR_TEST"), "Diagnostic",
  TRUE, "Reported"
)</f>
        <v>Diagnostic</v>
      </c>
      <c r="D124" s="2">
        <v>2015</v>
      </c>
      <c r="E124" s="2">
        <v>7511712</v>
      </c>
    </row>
    <row r="125" spans="1:7" x14ac:dyDescent="0.4">
      <c r="A125" s="2" t="s">
        <v>48</v>
      </c>
      <c r="B125" s="2" t="s">
        <v>49</v>
      </c>
      <c r="C125" s="2" t="str" cm="1">
        <f t="array" ref="C125">_xlfn.IFS(
  OR(A125="MALARIA_EST_INCIDENCE", A125="MALARIA_EST_MORTALITY"), "Estimated",
  OR(A125="MALARIA_RDT_POS", A125="MALARIA_MICR_POS", A125="MALARIA_MICR_TEST"), "Diagnostic",
  TRUE, "Reported"
)</f>
        <v>Diagnostic</v>
      </c>
      <c r="D125" s="2">
        <v>2016</v>
      </c>
      <c r="E125" s="2">
        <v>618363</v>
      </c>
    </row>
    <row r="126" spans="1:7" x14ac:dyDescent="0.4">
      <c r="A126" s="2" t="s">
        <v>48</v>
      </c>
      <c r="B126" s="2" t="s">
        <v>49</v>
      </c>
      <c r="C126" s="2" t="str" cm="1">
        <f t="array" ref="C126">_xlfn.IFS(
  OR(A126="MALARIA_EST_INCIDENCE", A126="MALARIA_EST_MORTALITY"), "Estimated",
  OR(A126="MALARIA_RDT_POS", A126="MALARIA_MICR_POS", A126="MALARIA_MICR_TEST"), "Diagnostic",
  TRUE, "Reported"
)</f>
        <v>Diagnostic</v>
      </c>
      <c r="D126" s="2">
        <v>2018</v>
      </c>
      <c r="E126" s="2">
        <v>1023273</v>
      </c>
    </row>
    <row r="127" spans="1:7" x14ac:dyDescent="0.4">
      <c r="A127" s="2" t="s">
        <v>37</v>
      </c>
      <c r="B127" s="2" t="s">
        <v>38</v>
      </c>
      <c r="C127" s="2" t="str" cm="1">
        <f t="array" ref="C127">_xlfn.IFS(
  OR(A127="MALARIA_EST_INCIDENCE", A127="MALARIA_EST_MORTALITY"), "Estimated",
  OR(A127="MALARIA_RDT_POS", A127="MALARIA_MICR_POS", A127="MALARIA_MICR_TEST"), "Diagnostic",
  TRUE, "Reported"
)</f>
        <v>Diagnostic</v>
      </c>
      <c r="D127" s="2">
        <v>2017</v>
      </c>
      <c r="E127" s="2">
        <v>12338760</v>
      </c>
    </row>
    <row r="128" spans="1:7" x14ac:dyDescent="0.4">
      <c r="A128" s="2" t="s">
        <v>68</v>
      </c>
      <c r="B128" s="2" t="s">
        <v>69</v>
      </c>
      <c r="C128" s="2" t="str" cm="1">
        <f t="array" ref="C128">_xlfn.IFS(
  OR(A128="MALARIA_EST_INCIDENCE", A128="MALARIA_EST_MORTALITY"), "Estimated",
  OR(A128="MALARIA_RDT_POS", A128="MALARIA_MICR_POS", A128="MALARIA_MICR_TEST"), "Diagnostic",
  TRUE, "Reported"
)</f>
        <v>Reported</v>
      </c>
      <c r="D128" s="2">
        <v>2018</v>
      </c>
      <c r="E128" s="2">
        <v>14548024</v>
      </c>
    </row>
    <row r="129" spans="1:7" x14ac:dyDescent="0.4">
      <c r="A129" s="2" t="s">
        <v>37</v>
      </c>
      <c r="B129" s="2" t="s">
        <v>38</v>
      </c>
      <c r="C129" s="2" t="str" cm="1">
        <f t="array" ref="C129">_xlfn.IFS(
  OR(A129="MALARIA_EST_INCIDENCE", A129="MALARIA_EST_MORTALITY"), "Estimated",
  OR(A129="MALARIA_RDT_POS", A129="MALARIA_MICR_POS", A129="MALARIA_MICR_TEST"), "Diagnostic",
  TRUE, "Reported"
)</f>
        <v>Diagnostic</v>
      </c>
      <c r="D129" s="2">
        <v>2019</v>
      </c>
      <c r="E129" s="2">
        <v>17330401</v>
      </c>
    </row>
    <row r="130" spans="1:7" x14ac:dyDescent="0.4">
      <c r="A130" s="2" t="s">
        <v>29</v>
      </c>
      <c r="B130" s="2" t="s">
        <v>30</v>
      </c>
      <c r="C130" s="2" t="str" cm="1">
        <f t="array" ref="C130">_xlfn.IFS(
  OR(A130="MALARIA_EST_INCIDENCE", A130="MALARIA_EST_MORTALITY"), "Estimated",
  OR(A130="MALARIA_RDT_POS", A130="MALARIA_MICR_POS", A130="MALARIA_MICR_TEST"), "Diagnostic",
  TRUE, "Reported"
)</f>
        <v>Estimated</v>
      </c>
      <c r="D130" s="2">
        <v>2020</v>
      </c>
      <c r="E130" s="2">
        <v>93.579707389999996</v>
      </c>
      <c r="F130" s="2">
        <v>71.896902220000001</v>
      </c>
      <c r="G130" s="2">
        <v>125.6541349</v>
      </c>
    </row>
    <row r="131" spans="1:7" x14ac:dyDescent="0.4">
      <c r="A131" s="2" t="s">
        <v>33</v>
      </c>
      <c r="B131" s="2" t="s">
        <v>34</v>
      </c>
      <c r="C131" s="2" t="str" cm="1">
        <f t="array" ref="C131">_xlfn.IFS(
  OR(A131="MALARIA_EST_INCIDENCE", A131="MALARIA_EST_MORTALITY"), "Estimated",
  OR(A131="MALARIA_RDT_POS", A131="MALARIA_MICR_POS", A131="MALARIA_MICR_TEST"), "Diagnostic",
  TRUE, "Reported"
)</f>
        <v>Estimated</v>
      </c>
      <c r="D131" s="2">
        <v>2005</v>
      </c>
      <c r="E131" s="2">
        <v>395.89714199999997</v>
      </c>
      <c r="F131" s="2">
        <v>318.82262070000002</v>
      </c>
      <c r="G131" s="2">
        <v>487.00662840000001</v>
      </c>
    </row>
    <row r="132" spans="1:7" x14ac:dyDescent="0.4">
      <c r="A132" s="2" t="s">
        <v>62</v>
      </c>
      <c r="B132" s="2" t="s">
        <v>63</v>
      </c>
      <c r="C132" s="2" t="str" cm="1">
        <f t="array" ref="C132">_xlfn.IFS(
  OR(A132="MALARIA_EST_INCIDENCE", A132="MALARIA_EST_MORTALITY"), "Estimated",
  OR(A132="MALARIA_RDT_POS", A132="MALARIA_MICR_POS", A132="MALARIA_MICR_TEST"), "Diagnostic",
  TRUE, "Reported"
)</f>
        <v>Reported</v>
      </c>
      <c r="D132" s="2">
        <v>2016</v>
      </c>
      <c r="E132" s="2">
        <v>13598282</v>
      </c>
    </row>
    <row r="133" spans="1:7" x14ac:dyDescent="0.4">
      <c r="A133" s="2" t="s">
        <v>44</v>
      </c>
      <c r="B133" s="2" t="s">
        <v>45</v>
      </c>
      <c r="C133" s="2" t="str" cm="1">
        <f t="array" ref="C133">_xlfn.IFS(
  OR(A133="MALARIA_EST_INCIDENCE", A133="MALARIA_EST_MORTALITY"), "Estimated",
  OR(A133="MALARIA_RDT_POS", A133="MALARIA_MICR_POS", A133="MALARIA_MICR_TEST"), "Diagnostic",
  TRUE, "Reported"
)</f>
        <v>Reported</v>
      </c>
      <c r="D133" s="2">
        <v>2018</v>
      </c>
      <c r="E133" s="2">
        <v>25381459</v>
      </c>
    </row>
    <row r="134" spans="1:7" x14ac:dyDescent="0.4">
      <c r="A134" s="2" t="s">
        <v>25</v>
      </c>
      <c r="B134" s="2" t="s">
        <v>26</v>
      </c>
      <c r="C134" s="2" t="str" cm="1">
        <f t="array" ref="C134">_xlfn.IFS(
  OR(A134="MALARIA_EST_INCIDENCE", A134="MALARIA_EST_MORTALITY"), "Estimated",
  OR(A134="MALARIA_RDT_POS", A134="MALARIA_MICR_POS", A134="MALARIA_MICR_TEST"), "Diagnostic",
  TRUE, "Reported"
)</f>
        <v>Reported</v>
      </c>
      <c r="D134" s="2">
        <v>2017</v>
      </c>
      <c r="E134" s="2">
        <v>13087878</v>
      </c>
    </row>
    <row r="135" spans="1:7" x14ac:dyDescent="0.4">
      <c r="A135" s="2" t="s">
        <v>33</v>
      </c>
      <c r="B135" s="2" t="s">
        <v>34</v>
      </c>
      <c r="C135" s="2" t="str" cm="1">
        <f t="array" ref="C135">_xlfn.IFS(
  OR(A135="MALARIA_EST_INCIDENCE", A135="MALARIA_EST_MORTALITY"), "Estimated",
  OR(A135="MALARIA_RDT_POS", A135="MALARIA_MICR_POS", A135="MALARIA_MICR_TEST"), "Diagnostic",
  TRUE, "Reported"
)</f>
        <v>Estimated</v>
      </c>
      <c r="D135" s="2">
        <v>2013</v>
      </c>
      <c r="E135" s="2">
        <v>297.82649479999998</v>
      </c>
      <c r="F135" s="2">
        <v>239.59653180000001</v>
      </c>
      <c r="G135" s="2">
        <v>366.28513409999999</v>
      </c>
    </row>
    <row r="136" spans="1:7" x14ac:dyDescent="0.4">
      <c r="A136" s="2" t="s">
        <v>25</v>
      </c>
      <c r="B136" s="2" t="s">
        <v>26</v>
      </c>
      <c r="C136" s="2" t="str" cm="1">
        <f t="array" ref="C136">_xlfn.IFS(
  OR(A136="MALARIA_EST_INCIDENCE", A136="MALARIA_EST_MORTALITY"), "Estimated",
  OR(A136="MALARIA_RDT_POS", A136="MALARIA_MICR_POS", A136="MALARIA_MICR_TEST"), "Diagnostic",
  TRUE, "Reported"
)</f>
        <v>Reported</v>
      </c>
      <c r="D136" s="2">
        <v>2021</v>
      </c>
      <c r="E136" s="2">
        <v>21325186</v>
      </c>
    </row>
    <row r="137" spans="1:7" x14ac:dyDescent="0.4">
      <c r="A137" s="2" t="s">
        <v>33</v>
      </c>
      <c r="B137" s="2" t="s">
        <v>34</v>
      </c>
      <c r="C137" s="2" t="str" cm="1">
        <f t="array" ref="C137">_xlfn.IFS(
  OR(A137="MALARIA_EST_INCIDENCE", A137="MALARIA_EST_MORTALITY"), "Estimated",
  OR(A137="MALARIA_RDT_POS", A137="MALARIA_MICR_POS", A137="MALARIA_MICR_TEST"), "Diagnostic",
  TRUE, "Reported"
)</f>
        <v>Estimated</v>
      </c>
      <c r="D137" s="2">
        <v>2001</v>
      </c>
      <c r="E137" s="2">
        <v>394.49168100000003</v>
      </c>
      <c r="F137" s="2">
        <v>306.73396860000003</v>
      </c>
      <c r="G137" s="2">
        <v>501.43092150000001</v>
      </c>
    </row>
    <row r="138" spans="1:7" x14ac:dyDescent="0.4">
      <c r="A138" s="2" t="s">
        <v>86</v>
      </c>
      <c r="B138" s="2" t="s">
        <v>87</v>
      </c>
      <c r="C138" s="2" t="str" cm="1">
        <f t="array" ref="C138">_xlfn.IFS(
  OR(A138="MALARIA_EST_INCIDENCE", A138="MALARIA_EST_MORTALITY"), "Estimated",
  OR(A138="MALARIA_RDT_POS", A138="MALARIA_MICR_POS", A138="MALARIA_MICR_TEST"), "Diagnostic",
  TRUE, "Reported"
)</f>
        <v>Reported</v>
      </c>
      <c r="D138" s="2">
        <v>2024</v>
      </c>
      <c r="E138" s="2">
        <v>24047693</v>
      </c>
    </row>
    <row r="139" spans="1:7" x14ac:dyDescent="0.4">
      <c r="A139" s="2" t="s">
        <v>29</v>
      </c>
      <c r="B139" s="2" t="s">
        <v>30</v>
      </c>
      <c r="C139" s="2" t="str" cm="1">
        <f t="array" ref="C139">_xlfn.IFS(
  OR(A139="MALARIA_EST_INCIDENCE", A139="MALARIA_EST_MORTALITY"), "Estimated",
  OR(A139="MALARIA_RDT_POS", A139="MALARIA_MICR_POS", A139="MALARIA_MICR_TEST"), "Diagnostic",
  TRUE, "Reported"
)</f>
        <v>Estimated</v>
      </c>
      <c r="D139" s="2">
        <v>2003</v>
      </c>
      <c r="E139" s="2">
        <v>149.9774305</v>
      </c>
      <c r="F139" s="2">
        <v>141.11010859999999</v>
      </c>
      <c r="G139" s="2">
        <v>159.1223162</v>
      </c>
    </row>
    <row r="140" spans="1:7" x14ac:dyDescent="0.4">
      <c r="A140" s="2" t="s">
        <v>62</v>
      </c>
      <c r="B140" s="2" t="s">
        <v>63</v>
      </c>
      <c r="C140" s="2" t="str" cm="1">
        <f t="array" ref="C140">_xlfn.IFS(
  OR(A140="MALARIA_EST_INCIDENCE", A140="MALARIA_EST_MORTALITY"), "Estimated",
  OR(A140="MALARIA_RDT_POS", A140="MALARIA_MICR_POS", A140="MALARIA_MICR_TEST"), "Diagnostic",
  TRUE, "Reported"
)</f>
        <v>Reported</v>
      </c>
      <c r="D140" s="2">
        <v>2021</v>
      </c>
      <c r="E140" s="2">
        <v>21325186</v>
      </c>
    </row>
    <row r="141" spans="1:7" x14ac:dyDescent="0.4">
      <c r="A141" s="2" t="s">
        <v>86</v>
      </c>
      <c r="B141" s="2" t="s">
        <v>87</v>
      </c>
      <c r="C141" s="2" t="str" cm="1">
        <f t="array" ref="C141">_xlfn.IFS(
  OR(A141="MALARIA_EST_INCIDENCE", A141="MALARIA_EST_MORTALITY"), "Estimated",
  OR(A141="MALARIA_RDT_POS", A141="MALARIA_MICR_POS", A141="MALARIA_MICR_TEST"), "Diagnostic",
  TRUE, "Reported"
)</f>
        <v>Reported</v>
      </c>
      <c r="D141" s="2">
        <v>2021</v>
      </c>
      <c r="E141" s="2">
        <v>23608797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malaria_indicators_nga</vt:lpstr>
      <vt:lpstr>malaria-dataset_clean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Elizabeth Okosun</cp:lastModifiedBy>
  <dcterms:created xsi:type="dcterms:W3CDTF">2026-04-27T22:05:16Z</dcterms:created>
  <dcterms:modified xsi:type="dcterms:W3CDTF">2026-05-25T20:48:41Z</dcterms:modified>
</cp:coreProperties>
</file>